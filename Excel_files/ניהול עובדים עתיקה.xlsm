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חוברת_עבודה_זו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li27\Desktop\projects\2023-OldCity-Excel\original_files\"/>
    </mc:Choice>
  </mc:AlternateContent>
  <xr:revisionPtr revIDLastSave="0" documentId="13_ncr:1_{F8850ACA-321D-4AF5-B6D3-0B0894EB850D}" xr6:coauthVersionLast="47" xr6:coauthVersionMax="47" xr10:uidLastSave="{00000000-0000-0000-0000-000000000000}"/>
  <bookViews>
    <workbookView xWindow="-108" yWindow="-108" windowWidth="23256" windowHeight="12456" tabRatio="861" xr2:uid="{3A7A2BC0-0E18-4EA9-BA38-F5AB5EEAD102}"/>
  </bookViews>
  <sheets>
    <sheet name="מסך ראשי" sheetId="14" r:id="rId1"/>
    <sheet name="עובד - כללי" sheetId="7" r:id="rId2"/>
    <sheet name="עובד - איחורים" sheetId="11" r:id="rId3"/>
    <sheet name="עובד - ביקורות" sheetId="13" r:id="rId4"/>
    <sheet name="עובד - תרגילים" sheetId="21" r:id="rId5"/>
    <sheet name="סיכום - הסמכות" sheetId="28" r:id="rId6"/>
    <sheet name="סיכום - בחני שטח" sheetId="17" r:id="rId7"/>
    <sheet name="סיכום - איחורים" sheetId="18" r:id="rId8"/>
    <sheet name="סיכום - ביקורות" sheetId="19" r:id="rId9"/>
    <sheet name="סיכום - תרגילים" sheetId="24" r:id="rId10"/>
    <sheet name="סיכום - הצהרות בריאות" sheetId="32" state="hidden" r:id="rId11"/>
    <sheet name="פרטי עובדים" sheetId="1" state="hidden" r:id="rId12"/>
    <sheet name="הדפסה לשיחת משמעת" sheetId="23" state="hidden" r:id="rId13"/>
    <sheet name="בחני שטח" sheetId="2" state="hidden" r:id="rId14"/>
    <sheet name="איחורים" sheetId="3" state="hidden" r:id="rId15"/>
    <sheet name="ביקורות" sheetId="4" state="hidden" r:id="rId16"/>
    <sheet name="תרגילים" sheetId="5" state="hidden" r:id="rId17"/>
    <sheet name="אלפון להדפסה" sheetId="30" state="hidden" r:id="rId18"/>
    <sheet name="עמדות שליטה להדפסה" sheetId="31" state="hidden" r:id="rId19"/>
    <sheet name="מידע לגרפים" sheetId="26" state="hidden" r:id="rId20"/>
    <sheet name="גיליון טכני" sheetId="8" state="hidden" r:id="rId21"/>
    <sheet name="ToDo" sheetId="25" state="hidden" r:id="rId22"/>
  </sheets>
  <functionGroups builtInGroupCount="19"/>
  <definedNames>
    <definedName name="_xlcn.WorksheetConnection_ניהולעובדיםעתיקה160523.xlsmtbLate1" hidden="1">tbLate[]</definedName>
    <definedName name="_xlcn.WorksheetConnection_ניהולעובדיםעתיקה160523.xlsmtbShetchExam1" hidden="1">tbShetchExam[]</definedName>
    <definedName name="_xlpm.data" hidden="1" xlm="1">#NAME?</definedName>
    <definedName name="_xlpm.dates" hidden="1" xlm="1">#NAME?</definedName>
    <definedName name="_xlpm.filter_names" hidden="1" xlm="1">#NAME?</definedName>
    <definedName name="_xlpm.filtered_data" hidden="1" xlm="1">#NAME?</definedName>
    <definedName name="_xlpm.filtered_names" hidden="1" xlm="1">#NAME?</definedName>
    <definedName name="_xlpm.names" hidden="1" xlm="1">#NAME?</definedName>
    <definedName name="_xlpm.numbers" hidden="1" xlm="1">#NAME?</definedName>
    <definedName name="_xlpm.occurrences" hidden="1" xlm="1">#NAME?</definedName>
    <definedName name="_xlpm.result" hidden="1" xlm="1">#NAME?</definedName>
    <definedName name="_xlpm.table" hidden="1" xlm="1">#NAME?</definedName>
    <definedName name="_xlpm.unique_names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clmnFullNamesFP" localSheetId="5">tbEmploDetails[שם מלא]</definedName>
    <definedName name="clmnFullNamesFP">tbEmploDetails[שם מלא]</definedName>
    <definedName name="helpCells01">'גיליון טכני'!$V$14:$V$16</definedName>
    <definedName name="helpCells01.5_0">'גיליון טכני'!$W$14</definedName>
    <definedName name="helpCells01_0">'גיליון טכני'!$V$14</definedName>
    <definedName name="helpCells01_2">'גיליון טכני'!$V$16</definedName>
    <definedName name="helpCells03">'גיליון טכני'!$U$33:$U$35</definedName>
    <definedName name="helpCells03_0">'גיליון טכני'!$U$33</definedName>
    <definedName name="helpCells03_1">'גיליון טכני'!$U$34</definedName>
    <definedName name="helpCells03_2">'גיליון טכני'!$U$35</definedName>
    <definedName name="hlpCellDrpDwnNames">'גיליון טכני'!$AB$1</definedName>
    <definedName name="lsOptCtrlCert_0">'גיליון טכני'!$E$2</definedName>
    <definedName name="lsOptCtrlCert_1">'גיליון טכני'!$E$3</definedName>
    <definedName name="lsOptRvewWord" localSheetId="5">lsOptRvew[ביקורות]</definedName>
    <definedName name="lsOptRvewWord">lsOptRvew[ביקורות]</definedName>
    <definedName name="lsOptTest_0">'גיליון טכני'!$C$2</definedName>
    <definedName name="lsOptTest_1">'גיליון טכני'!$C$3</definedName>
    <definedName name="lsOptTest_2">'גיליון טכני'!$C$4</definedName>
    <definedName name="monthAgoCell">'גיליון טכני'!$R$1</definedName>
    <definedName name="months2AgoCell">'גיליון טכני'!$R$3</definedName>
    <definedName name="NameSearchCell">'מסך ראשי'!$C$10</definedName>
    <definedName name="namesOffset">OFFSET('פרטי עובדים'!$C$2,0,0,COUNTA('פרטי עובדים'!$C:$C)-1,1)</definedName>
    <definedName name="NoDrillSign">"מלבן: פינות אלכסוניות מעוגלות 7"</definedName>
    <definedName name="previousNameCell">'גיליון טכני'!$W$2</definedName>
    <definedName name="prevNameCellInSheet" localSheetId="2">'עובד - איחורים'!$AB$1</definedName>
    <definedName name="prevNameCellInSheet" localSheetId="3">'עובד - ביקורות'!$W$1</definedName>
    <definedName name="prevNameCellInSheet" localSheetId="4">'עובד - תרגילים'!$AC$1</definedName>
    <definedName name="prevOrederCellInSheet" localSheetId="3">'עובד - ביקורות'!$Z$1</definedName>
    <definedName name="prevOrederCellInSheet" localSheetId="4">'עובד - תרגילים'!$AF$1</definedName>
    <definedName name="_xlnm.Print_Area" localSheetId="17">'אלפון להדפסה'!$A$1:$I$37</definedName>
    <definedName name="_xlnm.Print_Area" localSheetId="5">'סיכום - הסמכות'!$A$1:$I$62</definedName>
    <definedName name="_xlnm.Print_Area" localSheetId="1">'עובד - כללי'!$A$1:$J$33</definedName>
    <definedName name="_xlnm.Print_Area" localSheetId="18">'עמדות שליטה להדפסה'!$B$2:$G$31</definedName>
    <definedName name="reflectNameSearchCell">'מסך ראשי'!$W$1</definedName>
    <definedName name="shouldUptateSheetInSheet" localSheetId="7">'סיכום - איחורים'!$V$1</definedName>
    <definedName name="shouldUptateSheetInSheet" localSheetId="6">'סיכום - בחני שטח'!$AB$1</definedName>
    <definedName name="shouldUptateSheetInSheet" localSheetId="8">'סיכום - ביקורות'!$AB$1</definedName>
    <definedName name="shouldUptateSheetInSheet" localSheetId="9">'סיכום - תרגילים'!$AB$1</definedName>
    <definedName name="shouldUptateSheetInSheet" localSheetId="2">'עובד - איחורים'!$AB$3</definedName>
    <definedName name="shouldUptateSheetInSheet" localSheetId="3">'עובד - ביקורות'!$X$3</definedName>
    <definedName name="shouldUptateSheetInSheet" localSheetId="1">'עובד - כללי'!$U$3</definedName>
    <definedName name="shouldUptateSheetInSheet" localSheetId="4">'עובד - תרגילים'!$AD$3</definedName>
    <definedName name="TempNameCheck01">'גיליון טכני'!$A$26</definedName>
    <definedName name="TodayCell">'גיליון טכני'!$P$1</definedName>
    <definedName name="weekAgoCell">'גיליון טכני'!$P$3</definedName>
    <definedName name="yearAgoCell">'גיליון טכני'!$Q$1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hetchExam" name="tbShetchExam" connection="WorksheetConnection_ניהול עובדים עתיקה 160523.xlsm!tbShetchExam"/>
          <x15:modelTable id="tbLate" name="tbLate" connection="WorksheetConnection_ניהול עובדים עתיקה 160523.xlsm!tbLate"/>
        </x15:modelTables>
        <x15:extLst>
          <ext xmlns:x16="http://schemas.microsoft.com/office/spreadsheetml/2014/11/main" uri="{9835A34E-60A6-4A7C-AAB8-D5F71C897F49}">
            <x16:modelTimeGroupings>
              <x16:modelTimeGrouping tableName="tbShetchExam" columnName="תאריך" columnId="תאריך">
                <x16:calculatedTimeColumn columnName="תאריך (אינדקס חודשים)" columnId="תאריך (אינדקס חודשים)" contentType="monthsindex" isSelected="1"/>
                <x16:calculatedTimeColumn columnName="תאריך (חודש)" columnId="תאריך (חודש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3" l="1"/>
  <c r="G10" i="3"/>
  <c r="H10" i="3"/>
  <c r="J10" i="3"/>
  <c r="K10" i="3"/>
  <c r="L10" i="3"/>
  <c r="M10" i="3"/>
  <c r="N10" i="3"/>
  <c r="O10" i="3"/>
  <c r="C9" i="3"/>
  <c r="G9" i="3"/>
  <c r="H9" i="3"/>
  <c r="J9" i="3"/>
  <c r="K9" i="3"/>
  <c r="L9" i="3"/>
  <c r="M9" i="3"/>
  <c r="N9" i="3"/>
  <c r="O9" i="3"/>
  <c r="C8" i="3"/>
  <c r="G8" i="3"/>
  <c r="H8" i="3"/>
  <c r="J8" i="3"/>
  <c r="K8" i="3"/>
  <c r="L8" i="3"/>
  <c r="M8" i="3"/>
  <c r="N8" i="3"/>
  <c r="O8" i="3"/>
  <c r="C7" i="3"/>
  <c r="G7" i="3"/>
  <c r="H7" i="3"/>
  <c r="J7" i="3"/>
  <c r="K7" i="3"/>
  <c r="L7" i="3"/>
  <c r="M7" i="3"/>
  <c r="N7" i="3"/>
  <c r="O7" i="3"/>
  <c r="C6" i="3"/>
  <c r="G6" i="3"/>
  <c r="H6" i="3"/>
  <c r="J6" i="3"/>
  <c r="K6" i="3"/>
  <c r="L6" i="3"/>
  <c r="M6" i="3"/>
  <c r="N6" i="3"/>
  <c r="O6" i="3"/>
  <c r="I6" i="5"/>
  <c r="L6" i="5"/>
  <c r="M6" i="5"/>
  <c r="N6" i="5"/>
  <c r="I5" i="5"/>
  <c r="L5" i="5"/>
  <c r="M5" i="5"/>
  <c r="N5" i="5"/>
  <c r="I4" i="5"/>
  <c r="L4" i="5"/>
  <c r="M4" i="5"/>
  <c r="N4" i="5"/>
  <c r="I3" i="5"/>
  <c r="L3" i="5"/>
  <c r="M3" i="5"/>
  <c r="N3" i="5"/>
  <c r="I2" i="5"/>
  <c r="L2" i="5"/>
  <c r="M2" i="5"/>
  <c r="N2" i="5"/>
  <c r="I6" i="4"/>
  <c r="L6" i="4"/>
  <c r="M6" i="4"/>
  <c r="N6" i="4"/>
  <c r="I5" i="4"/>
  <c r="L5" i="4"/>
  <c r="M5" i="4"/>
  <c r="N5" i="4"/>
  <c r="I4" i="4"/>
  <c r="L4" i="4"/>
  <c r="M4" i="4"/>
  <c r="N4" i="4"/>
  <c r="I3" i="4"/>
  <c r="L3" i="4"/>
  <c r="M3" i="4"/>
  <c r="N3" i="4"/>
  <c r="I2" i="4"/>
  <c r="L2" i="4"/>
  <c r="M2" i="4"/>
  <c r="N2" i="4"/>
  <c r="C5" i="3"/>
  <c r="G5" i="3"/>
  <c r="H5" i="3"/>
  <c r="J5" i="3"/>
  <c r="K5" i="3"/>
  <c r="L5" i="3"/>
  <c r="M5" i="3"/>
  <c r="N5" i="3"/>
  <c r="O5" i="3"/>
  <c r="C4" i="3"/>
  <c r="G4" i="3"/>
  <c r="H4" i="3"/>
  <c r="J4" i="3"/>
  <c r="K4" i="3"/>
  <c r="L4" i="3"/>
  <c r="M4" i="3"/>
  <c r="N4" i="3"/>
  <c r="O4" i="3"/>
  <c r="C3" i="3"/>
  <c r="G3" i="3"/>
  <c r="H3" i="3"/>
  <c r="J3" i="3"/>
  <c r="K3" i="3"/>
  <c r="L3" i="3"/>
  <c r="M3" i="3"/>
  <c r="N3" i="3"/>
  <c r="O3" i="3"/>
  <c r="C2" i="3"/>
  <c r="G2" i="3"/>
  <c r="H2" i="3"/>
  <c r="J2" i="3"/>
  <c r="K2" i="3"/>
  <c r="L2" i="3"/>
  <c r="M2" i="3"/>
  <c r="N2" i="3"/>
  <c r="O2" i="3"/>
  <c r="D4" i="2"/>
  <c r="F4" i="2"/>
  <c r="D3" i="2"/>
  <c r="F3" i="2"/>
  <c r="D2" i="2"/>
  <c r="F2" i="2"/>
  <c r="G2" i="1"/>
  <c r="Y16" i="26"/>
  <c r="L30" i="1"/>
  <c r="L79" i="30"/>
  <c r="L80" i="30"/>
  <c r="L81" i="30"/>
  <c r="L82" i="30"/>
  <c r="L83" i="30"/>
  <c r="L84" i="30"/>
  <c r="L85" i="30"/>
  <c r="L86" i="30"/>
  <c r="L87" i="30"/>
  <c r="L88" i="30"/>
  <c r="L89" i="30"/>
  <c r="L90" i="30"/>
  <c r="L91" i="30"/>
  <c r="L92" i="30"/>
  <c r="L93" i="30"/>
  <c r="L94" i="30"/>
  <c r="L95" i="30"/>
  <c r="L96" i="30"/>
  <c r="L97" i="30"/>
  <c r="L98" i="30"/>
  <c r="L99" i="30"/>
  <c r="L100" i="30"/>
  <c r="L101" i="30"/>
  <c r="L102" i="30"/>
  <c r="L103" i="30"/>
  <c r="L104" i="30"/>
  <c r="L105" i="30"/>
  <c r="L106" i="30"/>
  <c r="L107" i="30"/>
  <c r="L108" i="30"/>
  <c r="L109" i="30"/>
  <c r="L110" i="30"/>
  <c r="L111" i="30"/>
  <c r="L112" i="30"/>
  <c r="L113" i="30"/>
  <c r="L114" i="30"/>
  <c r="L115" i="30"/>
  <c r="L116" i="30"/>
  <c r="L117" i="30"/>
  <c r="L118" i="30"/>
  <c r="L119" i="30"/>
  <c r="L120" i="30"/>
  <c r="L121" i="30"/>
  <c r="L122" i="30"/>
  <c r="L123" i="30"/>
  <c r="L124" i="30"/>
  <c r="L125" i="30"/>
  <c r="L126" i="30"/>
  <c r="L127" i="30"/>
  <c r="L128" i="30"/>
  <c r="L129" i="30"/>
  <c r="L130" i="30"/>
  <c r="L131" i="30"/>
  <c r="L132" i="30"/>
  <c r="L133" i="30"/>
  <c r="L134" i="30"/>
  <c r="L135" i="30"/>
  <c r="L136" i="30"/>
  <c r="L137" i="30"/>
  <c r="L138" i="30"/>
  <c r="L139" i="30"/>
  <c r="L140" i="30"/>
  <c r="L141" i="30"/>
  <c r="L142" i="30"/>
  <c r="L143" i="30"/>
  <c r="L144" i="30"/>
  <c r="L145" i="30"/>
  <c r="L146" i="30"/>
  <c r="L147" i="30"/>
  <c r="L148" i="30"/>
  <c r="L149" i="30"/>
  <c r="L150" i="30"/>
  <c r="L151" i="30"/>
  <c r="L75" i="30"/>
  <c r="L76" i="30"/>
  <c r="L77" i="30"/>
  <c r="L78" i="30"/>
  <c r="G3" i="1" l="1"/>
  <c r="J23" i="14" l="1"/>
  <c r="M2" i="30" l="1" a="1"/>
  <c r="G25" i="1"/>
  <c r="M2" i="30" l="1"/>
  <c r="AQ25" i="1"/>
  <c r="G5" i="1" l="1"/>
  <c r="AQ5" i="1" s="1"/>
  <c r="P1" i="8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2" i="1"/>
  <c r="G11" i="1"/>
  <c r="AQ11" i="1" s="1"/>
  <c r="G12" i="1"/>
  <c r="AQ12" i="1" s="1"/>
  <c r="G13" i="1"/>
  <c r="AQ13" i="1" s="1"/>
  <c r="G14" i="1"/>
  <c r="AQ14" i="1" s="1"/>
  <c r="G15" i="1"/>
  <c r="AQ15" i="1" s="1"/>
  <c r="G16" i="1"/>
  <c r="AQ16" i="1" s="1"/>
  <c r="G17" i="1"/>
  <c r="AQ17" i="1" s="1"/>
  <c r="G18" i="1"/>
  <c r="AQ18" i="1" s="1"/>
  <c r="G19" i="1"/>
  <c r="AQ19" i="1" s="1"/>
  <c r="G20" i="1"/>
  <c r="AQ20" i="1" s="1"/>
  <c r="G21" i="1"/>
  <c r="AQ21" i="1" s="1"/>
  <c r="G22" i="1"/>
  <c r="AQ22" i="1" s="1"/>
  <c r="G23" i="1"/>
  <c r="AQ23" i="1" s="1"/>
  <c r="G24" i="1"/>
  <c r="AQ24" i="1" s="1"/>
  <c r="G26" i="1"/>
  <c r="AQ26" i="1" s="1"/>
  <c r="G27" i="1"/>
  <c r="AQ27" i="1" s="1"/>
  <c r="G28" i="1"/>
  <c r="AQ28" i="1" s="1"/>
  <c r="G29" i="1"/>
  <c r="AQ29" i="1" s="1"/>
  <c r="G30" i="1"/>
  <c r="AQ30" i="1" s="1"/>
  <c r="G31" i="1"/>
  <c r="AQ31" i="1" s="1"/>
  <c r="G32" i="1"/>
  <c r="AQ32" i="1" s="1"/>
  <c r="G33" i="1"/>
  <c r="AQ33" i="1" s="1"/>
  <c r="G34" i="1"/>
  <c r="AQ34" i="1" s="1"/>
  <c r="G35" i="1"/>
  <c r="AQ35" i="1" s="1"/>
  <c r="G36" i="1"/>
  <c r="AQ36" i="1" s="1"/>
  <c r="G37" i="1"/>
  <c r="AQ37" i="1" s="1"/>
  <c r="G38" i="1"/>
  <c r="AQ38" i="1" s="1"/>
  <c r="G39" i="1"/>
  <c r="AQ39" i="1" s="1"/>
  <c r="G40" i="1"/>
  <c r="AQ40" i="1" s="1"/>
  <c r="G41" i="1"/>
  <c r="AQ41" i="1" s="1"/>
  <c r="G42" i="1"/>
  <c r="AQ42" i="1" s="1"/>
  <c r="G43" i="1"/>
  <c r="AQ43" i="1" s="1"/>
  <c r="G44" i="1"/>
  <c r="AQ44" i="1" s="1"/>
  <c r="G45" i="1"/>
  <c r="AQ45" i="1" s="1"/>
  <c r="G46" i="1"/>
  <c r="AQ46" i="1" s="1"/>
  <c r="G47" i="1"/>
  <c r="AQ47" i="1" s="1"/>
  <c r="G48" i="1"/>
  <c r="AQ48" i="1" s="1"/>
  <c r="G49" i="1"/>
  <c r="AQ49" i="1" s="1"/>
  <c r="G50" i="1"/>
  <c r="AQ50" i="1" s="1"/>
  <c r="G51" i="1"/>
  <c r="AQ51" i="1" s="1"/>
  <c r="G52" i="1"/>
  <c r="AQ52" i="1" s="1"/>
  <c r="G53" i="1"/>
  <c r="AQ53" i="1" s="1"/>
  <c r="G54" i="1"/>
  <c r="AQ54" i="1" s="1"/>
  <c r="G55" i="1"/>
  <c r="AQ55" i="1" s="1"/>
  <c r="G56" i="1"/>
  <c r="AQ56" i="1" s="1"/>
  <c r="G57" i="1"/>
  <c r="AQ57" i="1" s="1"/>
  <c r="G58" i="1"/>
  <c r="AQ58" i="1" s="1"/>
  <c r="G59" i="1"/>
  <c r="AQ59" i="1" s="1"/>
  <c r="G60" i="1"/>
  <c r="AQ60" i="1" s="1"/>
  <c r="G61" i="1"/>
  <c r="AQ61" i="1" s="1"/>
  <c r="G62" i="1"/>
  <c r="AQ62" i="1" s="1"/>
  <c r="G63" i="1"/>
  <c r="AQ63" i="1" s="1"/>
  <c r="G64" i="1"/>
  <c r="AQ64" i="1" s="1"/>
  <c r="G65" i="1"/>
  <c r="AQ65" i="1" s="1"/>
  <c r="G66" i="1"/>
  <c r="AQ66" i="1" s="1"/>
  <c r="G67" i="1"/>
  <c r="AQ67" i="1" s="1"/>
  <c r="G68" i="1"/>
  <c r="AQ68" i="1" s="1"/>
  <c r="G69" i="1"/>
  <c r="AQ69" i="1" s="1"/>
  <c r="G70" i="1"/>
  <c r="AQ70" i="1" s="1"/>
  <c r="AQ3" i="1"/>
  <c r="G4" i="1"/>
  <c r="AQ4" i="1" s="1"/>
  <c r="G6" i="1"/>
  <c r="AQ6" i="1" s="1"/>
  <c r="G7" i="1"/>
  <c r="AQ7" i="1" s="1"/>
  <c r="G8" i="1"/>
  <c r="AQ8" i="1" s="1"/>
  <c r="G9" i="1"/>
  <c r="AQ9" i="1" s="1"/>
  <c r="G10" i="1"/>
  <c r="AQ10" i="1" s="1"/>
  <c r="AQ2" i="1"/>
  <c r="AF2" i="21" l="1"/>
  <c r="AF3" i="21" s="1"/>
  <c r="AB2" i="11"/>
  <c r="AB3" i="11" s="1"/>
  <c r="AC2" i="21"/>
  <c r="AC3" i="21" s="1"/>
  <c r="AD3" i="21" l="1"/>
  <c r="A14" i="13" a="1"/>
  <c r="A14" i="13" s="1"/>
  <c r="U4" i="13" l="1"/>
  <c r="U3" i="13"/>
  <c r="U2" i="13"/>
  <c r="Z2" i="13" l="1"/>
  <c r="Z3" i="13" s="1"/>
  <c r="AJ1" i="8" a="1"/>
  <c r="AJ1" i="8" s="1"/>
  <c r="AL1" i="8" l="1" a="1"/>
  <c r="AL1" i="8" s="1"/>
  <c r="O20" i="26" l="1"/>
  <c r="W3" i="1"/>
  <c r="O4" i="31" l="1" a="1"/>
  <c r="O4" i="31" s="1"/>
  <c r="L152" i="30"/>
  <c r="L153" i="30"/>
  <c r="L154" i="30"/>
  <c r="L155" i="30"/>
  <c r="L156" i="30"/>
  <c r="L157" i="30"/>
  <c r="L158" i="30"/>
  <c r="L159" i="30"/>
  <c r="L2" i="30"/>
  <c r="L3" i="30" s="1"/>
  <c r="L4" i="30" s="1"/>
  <c r="L5" i="30" s="1"/>
  <c r="J4" i="31" a="1"/>
  <c r="J4" i="31" s="1"/>
  <c r="R13" i="28" l="1" a="1"/>
  <c r="R13" i="28" s="1"/>
  <c r="R11" i="28" s="1"/>
  <c r="L6" i="30"/>
  <c r="L7" i="30" s="1"/>
  <c r="L8" i="30" s="1"/>
  <c r="L9" i="30" s="1"/>
  <c r="L10" i="30" s="1"/>
  <c r="L11" i="30" s="1"/>
  <c r="L12" i="30" s="1"/>
  <c r="L13" i="30" s="1"/>
  <c r="L14" i="30" s="1"/>
  <c r="L15" i="30" s="1"/>
  <c r="L16" i="30" s="1"/>
  <c r="L17" i="30" s="1"/>
  <c r="L18" i="30" s="1"/>
  <c r="L19" i="30" s="1"/>
  <c r="L20" i="30" s="1"/>
  <c r="L21" i="30" s="1"/>
  <c r="L22" i="30" s="1"/>
  <c r="L23" i="30" s="1"/>
  <c r="L24" i="30" s="1"/>
  <c r="L25" i="30" s="1"/>
  <c r="L26" i="30" s="1"/>
  <c r="L27" i="30" s="1"/>
  <c r="L28" i="30" s="1"/>
  <c r="L29" i="30" s="1"/>
  <c r="L30" i="30" s="1"/>
  <c r="L31" i="30" s="1"/>
  <c r="L32" i="30" s="1"/>
  <c r="L33" i="30" s="1"/>
  <c r="L34" i="30" s="1"/>
  <c r="L35" i="30" s="1"/>
  <c r="L36" i="30" s="1"/>
  <c r="L37" i="30" s="1"/>
  <c r="L38" i="30" s="1"/>
  <c r="L39" i="30" s="1"/>
  <c r="L40" i="30" s="1"/>
  <c r="L41" i="30" s="1"/>
  <c r="L42" i="30" s="1"/>
  <c r="L43" i="30" s="1"/>
  <c r="L44" i="30" s="1"/>
  <c r="L45" i="30" s="1"/>
  <c r="L46" i="30" s="1"/>
  <c r="L47" i="30" s="1"/>
  <c r="L48" i="30" s="1"/>
  <c r="L49" i="30" s="1"/>
  <c r="L50" i="30" s="1"/>
  <c r="L51" i="30" s="1"/>
  <c r="L52" i="30" s="1"/>
  <c r="L53" i="30" s="1"/>
  <c r="L54" i="30" s="1"/>
  <c r="L55" i="30" s="1"/>
  <c r="L56" i="30" s="1"/>
  <c r="L57" i="30" s="1"/>
  <c r="L58" i="30" s="1"/>
  <c r="L59" i="30" s="1"/>
  <c r="L60" i="30" s="1"/>
  <c r="L61" i="30" s="1"/>
  <c r="L62" i="30" s="1"/>
  <c r="L63" i="30" s="1"/>
  <c r="L64" i="30" s="1"/>
  <c r="L65" i="30" s="1"/>
  <c r="L66" i="30" s="1"/>
  <c r="L67" i="30" s="1"/>
  <c r="L68" i="30" s="1"/>
  <c r="L69" i="30" s="1"/>
  <c r="L70" i="30" s="1"/>
  <c r="L71" i="30" s="1"/>
  <c r="L72" i="30" s="1"/>
  <c r="L73" i="30" s="1"/>
  <c r="L74" i="30" s="1"/>
  <c r="O15" i="26"/>
  <c r="O16" i="26"/>
  <c r="O17" i="26"/>
  <c r="O18" i="26"/>
  <c r="O19" i="26"/>
  <c r="O14" i="26"/>
  <c r="O9" i="26"/>
  <c r="O10" i="26"/>
  <c r="O5" i="26"/>
  <c r="O4" i="26"/>
  <c r="O3" i="26"/>
  <c r="B2" i="7"/>
  <c r="Y33" i="26" l="1"/>
  <c r="Z46" i="26"/>
  <c r="Y46" i="26"/>
  <c r="Z45" i="26"/>
  <c r="Y45" i="26"/>
  <c r="Z44" i="26"/>
  <c r="Y44" i="26"/>
  <c r="Z43" i="26"/>
  <c r="Y43" i="26"/>
  <c r="Z42" i="26"/>
  <c r="Y42" i="26"/>
  <c r="Z41" i="26"/>
  <c r="Y41" i="26"/>
  <c r="Z40" i="26"/>
  <c r="Y40" i="26"/>
  <c r="Z39" i="26"/>
  <c r="Y39" i="26"/>
  <c r="Z38" i="26"/>
  <c r="Y38" i="26"/>
  <c r="Z37" i="26"/>
  <c r="Y37" i="26"/>
  <c r="Z36" i="26"/>
  <c r="Y36" i="26"/>
  <c r="Z35" i="26"/>
  <c r="Y35" i="26"/>
  <c r="Z14" i="26"/>
  <c r="Y14" i="26"/>
  <c r="Z13" i="26"/>
  <c r="Y13" i="26"/>
  <c r="Z12" i="26"/>
  <c r="Y12" i="26"/>
  <c r="Z11" i="26"/>
  <c r="Y11" i="26"/>
  <c r="Z10" i="26"/>
  <c r="Y10" i="26"/>
  <c r="Z9" i="26"/>
  <c r="Y9" i="26"/>
  <c r="Z8" i="26"/>
  <c r="Y8" i="26"/>
  <c r="Z7" i="26"/>
  <c r="Y7" i="26"/>
  <c r="Z6" i="26"/>
  <c r="Y6" i="26"/>
  <c r="Z5" i="26"/>
  <c r="Y5" i="26"/>
  <c r="Z4" i="26"/>
  <c r="Y4" i="26"/>
  <c r="Z3" i="26"/>
  <c r="Y3" i="26"/>
  <c r="AG1" i="26"/>
  <c r="Y1" i="26"/>
  <c r="AG16" i="26"/>
  <c r="Z29" i="26"/>
  <c r="Y29" i="26"/>
  <c r="Z28" i="26"/>
  <c r="Y28" i="26"/>
  <c r="Z27" i="26"/>
  <c r="Y27" i="26"/>
  <c r="Z26" i="26"/>
  <c r="Y26" i="26"/>
  <c r="Z25" i="26"/>
  <c r="Y25" i="26"/>
  <c r="Z24" i="26"/>
  <c r="Y24" i="26"/>
  <c r="Z23" i="26"/>
  <c r="Y23" i="26"/>
  <c r="Z22" i="26"/>
  <c r="Y22" i="26"/>
  <c r="Z21" i="26"/>
  <c r="Y21" i="26"/>
  <c r="Z20" i="26"/>
  <c r="Y20" i="26"/>
  <c r="Z19" i="26"/>
  <c r="Y19" i="26"/>
  <c r="Z18" i="26"/>
  <c r="Y18" i="26"/>
  <c r="B87" i="26"/>
  <c r="C87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B58" i="26"/>
  <c r="B59" i="26"/>
  <c r="B60" i="26"/>
  <c r="B61" i="26"/>
  <c r="B62" i="26"/>
  <c r="B63" i="26"/>
  <c r="B64" i="26"/>
  <c r="B65" i="26"/>
  <c r="B66" i="26"/>
  <c r="B67" i="26"/>
  <c r="B68" i="26"/>
  <c r="B69" i="26"/>
  <c r="B70" i="26"/>
  <c r="B71" i="26"/>
  <c r="B72" i="26"/>
  <c r="B73" i="26"/>
  <c r="B74" i="26"/>
  <c r="B75" i="26"/>
  <c r="B76" i="26"/>
  <c r="B77" i="26"/>
  <c r="B78" i="26"/>
  <c r="B79" i="26"/>
  <c r="B80" i="26"/>
  <c r="B81" i="26"/>
  <c r="B82" i="26"/>
  <c r="B83" i="26"/>
  <c r="B84" i="26"/>
  <c r="B85" i="26"/>
  <c r="B86" i="26"/>
  <c r="B35" i="26"/>
  <c r="C29" i="26"/>
  <c r="B29" i="26"/>
  <c r="C28" i="26"/>
  <c r="B28" i="26"/>
  <c r="C27" i="26"/>
  <c r="B27" i="26"/>
  <c r="C26" i="26"/>
  <c r="B26" i="26"/>
  <c r="C25" i="26"/>
  <c r="B25" i="26"/>
  <c r="C24" i="26"/>
  <c r="B24" i="26"/>
  <c r="C23" i="26"/>
  <c r="B23" i="26"/>
  <c r="C22" i="26"/>
  <c r="B22" i="26"/>
  <c r="C21" i="26"/>
  <c r="B21" i="26"/>
  <c r="C20" i="26"/>
  <c r="B20" i="26"/>
  <c r="C19" i="26"/>
  <c r="B19" i="26"/>
  <c r="C18" i="26"/>
  <c r="B18" i="26"/>
  <c r="B4" i="26"/>
  <c r="B5" i="26"/>
  <c r="B6" i="26"/>
  <c r="B7" i="26"/>
  <c r="B8" i="26"/>
  <c r="B9" i="26"/>
  <c r="B10" i="26"/>
  <c r="B11" i="26"/>
  <c r="B12" i="26"/>
  <c r="B13" i="26"/>
  <c r="B14" i="26"/>
  <c r="B3" i="26"/>
  <c r="C4" i="26"/>
  <c r="C5" i="26"/>
  <c r="C6" i="26"/>
  <c r="C7" i="26"/>
  <c r="C8" i="26"/>
  <c r="C9" i="26"/>
  <c r="C10" i="26"/>
  <c r="C11" i="26"/>
  <c r="C12" i="26"/>
  <c r="C13" i="26"/>
  <c r="C14" i="26"/>
  <c r="C3" i="26"/>
  <c r="A14" i="21" a="1"/>
  <c r="A14" i="21" s="1"/>
  <c r="N23" i="14"/>
  <c r="AA4" i="21" l="1"/>
  <c r="AA2" i="21"/>
  <c r="AA3" i="21"/>
  <c r="AC35" i="26"/>
  <c r="AB35" i="26"/>
  <c r="AA36" i="26"/>
  <c r="AA37" i="26"/>
  <c r="AA45" i="26"/>
  <c r="AA41" i="26"/>
  <c r="AA35" i="26"/>
  <c r="AA44" i="26"/>
  <c r="AA39" i="26"/>
  <c r="AA38" i="26"/>
  <c r="AA46" i="26"/>
  <c r="AA40" i="26"/>
  <c r="AA42" i="26"/>
  <c r="AA43" i="26"/>
  <c r="AB6" i="26"/>
  <c r="AB8" i="26"/>
  <c r="AB4" i="26"/>
  <c r="AB12" i="26"/>
  <c r="AB5" i="26"/>
  <c r="AB13" i="26"/>
  <c r="AB10" i="26"/>
  <c r="AB11" i="26"/>
  <c r="AB7" i="26"/>
  <c r="AB9" i="26"/>
  <c r="AB14" i="26"/>
  <c r="AA5" i="26"/>
  <c r="AB3" i="26"/>
  <c r="AA10" i="26"/>
  <c r="AA9" i="26"/>
  <c r="AA8" i="26"/>
  <c r="AA4" i="26"/>
  <c r="AA6" i="26"/>
  <c r="AA12" i="26"/>
  <c r="AA14" i="26"/>
  <c r="AA7" i="26"/>
  <c r="AA3" i="26"/>
  <c r="AA13" i="26"/>
  <c r="AA11" i="26"/>
  <c r="AD18" i="26"/>
  <c r="AC18" i="26" s="1"/>
  <c r="AD26" i="26"/>
  <c r="AC26" i="26" s="1"/>
  <c r="AD28" i="26"/>
  <c r="AC28" i="26" s="1"/>
  <c r="AD24" i="26"/>
  <c r="AC24" i="26" s="1"/>
  <c r="AD27" i="26"/>
  <c r="AC27" i="26" s="1"/>
  <c r="AD25" i="26"/>
  <c r="AC25" i="26" s="1"/>
  <c r="AD29" i="26"/>
  <c r="AC29" i="26" s="1"/>
  <c r="AD22" i="26"/>
  <c r="AC22" i="26" s="1"/>
  <c r="AB20" i="26"/>
  <c r="AB22" i="26"/>
  <c r="AB23" i="26"/>
  <c r="AB26" i="26"/>
  <c r="AB19" i="26"/>
  <c r="AB27" i="26"/>
  <c r="AB25" i="26"/>
  <c r="AB21" i="26"/>
  <c r="AB29" i="26"/>
  <c r="AB24" i="26"/>
  <c r="AB18" i="26"/>
  <c r="AB28" i="26"/>
  <c r="AA26" i="26"/>
  <c r="AA21" i="26"/>
  <c r="AA19" i="26"/>
  <c r="AA22" i="26"/>
  <c r="AA25" i="26"/>
  <c r="AA23" i="26"/>
  <c r="AA28" i="26"/>
  <c r="AA24" i="26"/>
  <c r="AA18" i="26"/>
  <c r="AA20" i="26"/>
  <c r="AA27" i="26"/>
  <c r="AA29" i="26"/>
  <c r="F35" i="26"/>
  <c r="E35" i="26"/>
  <c r="D85" i="26"/>
  <c r="D80" i="26"/>
  <c r="D64" i="26"/>
  <c r="D48" i="26"/>
  <c r="D72" i="26"/>
  <c r="D56" i="26"/>
  <c r="D69" i="26"/>
  <c r="D53" i="26"/>
  <c r="D40" i="26"/>
  <c r="D71" i="26"/>
  <c r="D55" i="26"/>
  <c r="D39" i="26"/>
  <c r="D87" i="26"/>
  <c r="D86" i="26"/>
  <c r="D70" i="26"/>
  <c r="D54" i="26"/>
  <c r="D38" i="26"/>
  <c r="D74" i="26"/>
  <c r="D58" i="26"/>
  <c r="D42" i="26"/>
  <c r="D37" i="26"/>
  <c r="D83" i="26"/>
  <c r="D67" i="26"/>
  <c r="D51" i="26"/>
  <c r="D78" i="26"/>
  <c r="D62" i="26"/>
  <c r="D46" i="26"/>
  <c r="D82" i="26"/>
  <c r="D66" i="26"/>
  <c r="D50" i="26"/>
  <c r="D84" i="26"/>
  <c r="D68" i="26"/>
  <c r="D52" i="26"/>
  <c r="D36" i="26"/>
  <c r="D81" i="26"/>
  <c r="D65" i="26"/>
  <c r="D49" i="26"/>
  <c r="D79" i="26"/>
  <c r="D63" i="26"/>
  <c r="D47" i="26"/>
  <c r="D73" i="26"/>
  <c r="D57" i="26"/>
  <c r="D41" i="26"/>
  <c r="D77" i="26"/>
  <c r="D61" i="26"/>
  <c r="D45" i="26"/>
  <c r="D76" i="26"/>
  <c r="D60" i="26"/>
  <c r="D44" i="26"/>
  <c r="D75" i="26"/>
  <c r="D59" i="26"/>
  <c r="D43" i="26"/>
  <c r="D35" i="26"/>
  <c r="H22" i="26"/>
  <c r="E24" i="26"/>
  <c r="G18" i="26"/>
  <c r="G20" i="26"/>
  <c r="E26" i="26"/>
  <c r="F19" i="26"/>
  <c r="H27" i="26"/>
  <c r="H20" i="26"/>
  <c r="E25" i="26"/>
  <c r="E18" i="26"/>
  <c r="G19" i="26"/>
  <c r="E22" i="26"/>
  <c r="E23" i="26"/>
  <c r="H18" i="26"/>
  <c r="H19" i="26"/>
  <c r="G27" i="26"/>
  <c r="F24" i="26"/>
  <c r="H28" i="26"/>
  <c r="G24" i="26"/>
  <c r="H24" i="26"/>
  <c r="F21" i="26"/>
  <c r="G29" i="26"/>
  <c r="E21" i="26"/>
  <c r="E29" i="26"/>
  <c r="F25" i="26"/>
  <c r="F20" i="26"/>
  <c r="G25" i="26"/>
  <c r="H25" i="26"/>
  <c r="F26" i="26"/>
  <c r="G26" i="26"/>
  <c r="G21" i="26"/>
  <c r="H26" i="26"/>
  <c r="H10" i="26"/>
  <c r="H21" i="26"/>
  <c r="F27" i="26"/>
  <c r="F22" i="26"/>
  <c r="G22" i="26"/>
  <c r="F28" i="26"/>
  <c r="E19" i="26"/>
  <c r="F23" i="26"/>
  <c r="G28" i="26"/>
  <c r="F18" i="26"/>
  <c r="G23" i="26"/>
  <c r="E27" i="26"/>
  <c r="H23" i="26"/>
  <c r="F29" i="26"/>
  <c r="E20" i="26"/>
  <c r="E28" i="26"/>
  <c r="H29" i="26"/>
  <c r="H5" i="26"/>
  <c r="H3" i="26"/>
  <c r="H13" i="26"/>
  <c r="H11" i="26"/>
  <c r="H9" i="26"/>
  <c r="H7" i="26"/>
  <c r="H14" i="26"/>
  <c r="H12" i="26"/>
  <c r="H8" i="26"/>
  <c r="H4" i="26"/>
  <c r="H6" i="26"/>
  <c r="D26" i="26"/>
  <c r="D21" i="26"/>
  <c r="E12" i="26"/>
  <c r="D29" i="26"/>
  <c r="D25" i="26"/>
  <c r="D19" i="26"/>
  <c r="D24" i="26"/>
  <c r="D22" i="26"/>
  <c r="D23" i="26"/>
  <c r="D27" i="26"/>
  <c r="D20" i="26"/>
  <c r="D28" i="26"/>
  <c r="D18" i="26"/>
  <c r="D14" i="26"/>
  <c r="D8" i="26"/>
  <c r="D7" i="26"/>
  <c r="D6" i="26"/>
  <c r="D3" i="26"/>
  <c r="D13" i="26"/>
  <c r="D12" i="26"/>
  <c r="D11" i="26"/>
  <c r="D10" i="26"/>
  <c r="D9" i="26"/>
  <c r="D5" i="26"/>
  <c r="D4" i="26"/>
  <c r="G11" i="26"/>
  <c r="E6" i="26"/>
  <c r="E5" i="26"/>
  <c r="E4" i="26"/>
  <c r="G8" i="26"/>
  <c r="F14" i="26"/>
  <c r="G13" i="26"/>
  <c r="G10" i="26"/>
  <c r="G9" i="26"/>
  <c r="F8" i="26"/>
  <c r="F7" i="26"/>
  <c r="E3" i="26"/>
  <c r="G7" i="26"/>
  <c r="F9" i="26"/>
  <c r="E14" i="26"/>
  <c r="E13" i="26"/>
  <c r="F10" i="26"/>
  <c r="E7" i="26"/>
  <c r="F3" i="26"/>
  <c r="F11" i="26"/>
  <c r="G3" i="26"/>
  <c r="F4" i="26"/>
  <c r="F12" i="26"/>
  <c r="G4" i="26"/>
  <c r="G12" i="26"/>
  <c r="F5" i="26"/>
  <c r="F13" i="26"/>
  <c r="G5" i="26"/>
  <c r="F6" i="26"/>
  <c r="G6" i="26"/>
  <c r="G14" i="26"/>
  <c r="E11" i="26"/>
  <c r="E10" i="26"/>
  <c r="E9" i="26"/>
  <c r="E8" i="26"/>
  <c r="W2" i="13"/>
  <c r="W3" i="13" s="1"/>
  <c r="X3" i="13" s="1"/>
  <c r="AD3" i="26" l="1"/>
  <c r="AC3" i="26" s="1"/>
  <c r="W1" i="14" l="1"/>
  <c r="AD23" i="26" l="1"/>
  <c r="AC23" i="26" s="1"/>
  <c r="E2" i="23" l="1"/>
  <c r="D7" i="23" l="1"/>
  <c r="AD19" i="26" l="1"/>
  <c r="AC19" i="26" s="1"/>
  <c r="AD20" i="26"/>
  <c r="AC20" i="26" s="1"/>
  <c r="AD21" i="26"/>
  <c r="AC21" i="26" s="1"/>
  <c r="AD13" i="26"/>
  <c r="AC13" i="26" s="1"/>
  <c r="AD7" i="26"/>
  <c r="AC7" i="26" s="1"/>
  <c r="AD8" i="26" l="1"/>
  <c r="AC8" i="26" s="1"/>
  <c r="AD10" i="26"/>
  <c r="AC10" i="26" s="1"/>
  <c r="AD11" i="26"/>
  <c r="AC11" i="26" s="1"/>
  <c r="AD9" i="26"/>
  <c r="AC9" i="26" s="1"/>
  <c r="AD12" i="26"/>
  <c r="AC12" i="26" s="1"/>
  <c r="AD14" i="26"/>
  <c r="AC14" i="26" s="1"/>
  <c r="AD4" i="26"/>
  <c r="AC4" i="26" s="1"/>
  <c r="AD5" i="26"/>
  <c r="AC5" i="26" s="1"/>
  <c r="AD6" i="26"/>
  <c r="AC6" i="26" s="1"/>
  <c r="F36" i="26" l="1"/>
  <c r="F37" i="26"/>
  <c r="E36" i="26"/>
  <c r="E37" i="26"/>
  <c r="E87" i="26" l="1"/>
  <c r="F87" i="26"/>
  <c r="E86" i="26" l="1"/>
  <c r="F86" i="26"/>
  <c r="E84" i="26"/>
  <c r="F84" i="26"/>
  <c r="AC46" i="26"/>
  <c r="AB46" i="26"/>
  <c r="E78" i="26" l="1"/>
  <c r="F78" i="26"/>
  <c r="F83" i="26" l="1"/>
  <c r="F85" i="26"/>
  <c r="E83" i="26"/>
  <c r="E85" i="26"/>
  <c r="E81" i="26"/>
  <c r="E82" i="26"/>
  <c r="F81" i="26"/>
  <c r="F82" i="26"/>
  <c r="E79" i="26"/>
  <c r="E80" i="26"/>
  <c r="F79" i="26"/>
  <c r="F80" i="26"/>
  <c r="E77" i="26"/>
  <c r="AB45" i="26"/>
  <c r="F77" i="26"/>
  <c r="AC45" i="26"/>
  <c r="E75" i="26"/>
  <c r="E76" i="26"/>
  <c r="F75" i="26"/>
  <c r="F76" i="26"/>
  <c r="E73" i="26"/>
  <c r="E74" i="26"/>
  <c r="F73" i="26"/>
  <c r="F74" i="26"/>
  <c r="E72" i="26"/>
  <c r="AB44" i="26"/>
  <c r="F72" i="26"/>
  <c r="AC44" i="26"/>
  <c r="E70" i="26"/>
  <c r="E71" i="26"/>
  <c r="F70" i="26"/>
  <c r="F71" i="26"/>
  <c r="E69" i="26"/>
  <c r="F69" i="26"/>
  <c r="F67" i="26"/>
  <c r="AC43" i="26"/>
  <c r="E67" i="26"/>
  <c r="AB43" i="26"/>
  <c r="AC42" i="26"/>
  <c r="AB42" i="26"/>
  <c r="E61" i="26"/>
  <c r="F61" i="26"/>
  <c r="B2" i="21"/>
  <c r="B2" i="13"/>
  <c r="B2" i="11" l="1"/>
  <c r="U20" i="8" l="1"/>
  <c r="U19" i="8"/>
  <c r="U18" i="8"/>
  <c r="AC39" i="26" l="1"/>
  <c r="AC37" i="26"/>
  <c r="AB39" i="26"/>
  <c r="AB37" i="26"/>
  <c r="E66" i="26" l="1"/>
  <c r="E68" i="26"/>
  <c r="F66" i="26"/>
  <c r="F68" i="26"/>
  <c r="E64" i="26"/>
  <c r="E65" i="26"/>
  <c r="F64" i="26"/>
  <c r="F65" i="26"/>
  <c r="E62" i="26"/>
  <c r="E63" i="26"/>
  <c r="F62" i="26"/>
  <c r="F63" i="26"/>
  <c r="E59" i="26"/>
  <c r="E60" i="26"/>
  <c r="AB41" i="26"/>
  <c r="F59" i="26"/>
  <c r="AC41" i="26"/>
  <c r="F60" i="26"/>
  <c r="E57" i="26"/>
  <c r="E58" i="26"/>
  <c r="F57" i="26"/>
  <c r="F58" i="26"/>
  <c r="AB40" i="26"/>
  <c r="E56" i="26"/>
  <c r="AC40" i="26"/>
  <c r="F56" i="26"/>
  <c r="F54" i="26"/>
  <c r="F55" i="26"/>
  <c r="E54" i="26"/>
  <c r="E55" i="26"/>
  <c r="F52" i="26"/>
  <c r="F53" i="26"/>
  <c r="E52" i="26"/>
  <c r="E53" i="26"/>
  <c r="E50" i="26"/>
  <c r="E51" i="26"/>
  <c r="F50" i="26"/>
  <c r="F51" i="26"/>
  <c r="AC38" i="26"/>
  <c r="F49" i="26"/>
  <c r="AB38" i="26"/>
  <c r="E49" i="26"/>
  <c r="E47" i="26"/>
  <c r="E48" i="26"/>
  <c r="F47" i="26"/>
  <c r="F48" i="26"/>
  <c r="E45" i="26"/>
  <c r="E46" i="26"/>
  <c r="F45" i="26"/>
  <c r="F46" i="26"/>
  <c r="E43" i="26"/>
  <c r="E44" i="26"/>
  <c r="F43" i="26"/>
  <c r="F44" i="26"/>
  <c r="E41" i="26"/>
  <c r="E42" i="26"/>
  <c r="F41" i="26"/>
  <c r="F42" i="26"/>
  <c r="E39" i="26"/>
  <c r="E40" i="26"/>
  <c r="F39" i="26"/>
  <c r="F40" i="26"/>
  <c r="E38" i="26"/>
  <c r="AB36" i="26"/>
  <c r="F38" i="26"/>
  <c r="AC36" i="26"/>
  <c r="N9" i="1" l="1"/>
  <c r="N10" i="1"/>
  <c r="N11" i="1"/>
  <c r="N12" i="1"/>
  <c r="N13" i="1"/>
  <c r="N14" i="1"/>
  <c r="N15" i="1"/>
  <c r="N16" i="1"/>
  <c r="N17" i="1"/>
  <c r="N18" i="1"/>
  <c r="N19" i="1"/>
  <c r="O19" i="1" s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3" i="1"/>
  <c r="N4" i="1"/>
  <c r="N5" i="1"/>
  <c r="N6" i="1"/>
  <c r="N7" i="1"/>
  <c r="N8" i="1"/>
  <c r="N2" i="1"/>
  <c r="K3" i="17"/>
  <c r="A14" i="11" l="1" a="1"/>
  <c r="A14" i="11" s="1"/>
  <c r="C3" i="1" l="1"/>
  <c r="AC3" i="1" s="1"/>
  <c r="C4" i="1"/>
  <c r="C5" i="1"/>
  <c r="X5" i="1" s="1"/>
  <c r="C6" i="1"/>
  <c r="X6" i="1" s="1"/>
  <c r="C7" i="1"/>
  <c r="AH7" i="1" s="1"/>
  <c r="C8" i="1"/>
  <c r="AC8" i="1" s="1"/>
  <c r="C9" i="1"/>
  <c r="Y9" i="1" s="1"/>
  <c r="C10" i="1"/>
  <c r="C11" i="1"/>
  <c r="Z11" i="1" s="1"/>
  <c r="C12" i="1"/>
  <c r="AI12" i="1" s="1"/>
  <c r="C13" i="1"/>
  <c r="AH13" i="1" s="1"/>
  <c r="C14" i="1"/>
  <c r="C15" i="1"/>
  <c r="C16" i="1"/>
  <c r="C17" i="1"/>
  <c r="AH17" i="1" s="1"/>
  <c r="C18" i="1"/>
  <c r="C19" i="1"/>
  <c r="AD19" i="1" s="1"/>
  <c r="C20" i="1"/>
  <c r="X20" i="1" s="1"/>
  <c r="C21" i="1"/>
  <c r="AI21" i="1" s="1"/>
  <c r="C22" i="1"/>
  <c r="C23" i="1"/>
  <c r="AD23" i="1" s="1"/>
  <c r="C24" i="1"/>
  <c r="Y24" i="1" s="1"/>
  <c r="C25" i="1"/>
  <c r="X25" i="1" s="1"/>
  <c r="C26" i="1"/>
  <c r="C27" i="1"/>
  <c r="AD27" i="1" s="1"/>
  <c r="C28" i="1"/>
  <c r="AD28" i="1" s="1"/>
  <c r="C29" i="1"/>
  <c r="C30" i="1"/>
  <c r="C31" i="1"/>
  <c r="C32" i="1"/>
  <c r="C33" i="1"/>
  <c r="C34" i="1"/>
  <c r="C35" i="1"/>
  <c r="Z35" i="1" s="1"/>
  <c r="C36" i="1"/>
  <c r="AH36" i="1" s="1"/>
  <c r="C37" i="1"/>
  <c r="C38" i="1"/>
  <c r="AH38" i="1" s="1"/>
  <c r="C39" i="1"/>
  <c r="AI39" i="1" s="1"/>
  <c r="C40" i="1"/>
  <c r="AI40" i="1" s="1"/>
  <c r="C41" i="1"/>
  <c r="Z41" i="1" s="1"/>
  <c r="C42" i="1"/>
  <c r="C43" i="1"/>
  <c r="Z43" i="1" s="1"/>
  <c r="C44" i="1"/>
  <c r="AH44" i="1" s="1"/>
  <c r="C45" i="1"/>
  <c r="AI45" i="1" s="1"/>
  <c r="C46" i="1"/>
  <c r="C47" i="1"/>
  <c r="C48" i="1"/>
  <c r="C49" i="1"/>
  <c r="C50" i="1"/>
  <c r="C51" i="1"/>
  <c r="AI51" i="1" s="1"/>
  <c r="C52" i="1"/>
  <c r="AD52" i="1" s="1"/>
  <c r="C53" i="1"/>
  <c r="C54" i="1"/>
  <c r="C55" i="1"/>
  <c r="AH55" i="1" s="1"/>
  <c r="C56" i="1"/>
  <c r="AH56" i="1" s="1"/>
  <c r="C57" i="1"/>
  <c r="AC57" i="1" s="1"/>
  <c r="C58" i="1"/>
  <c r="C59" i="1"/>
  <c r="AI59" i="1" s="1"/>
  <c r="C60" i="1"/>
  <c r="AC60" i="1" s="1"/>
  <c r="C61" i="1"/>
  <c r="AC61" i="1" s="1"/>
  <c r="C62" i="1"/>
  <c r="C63" i="1"/>
  <c r="C64" i="1"/>
  <c r="C65" i="1"/>
  <c r="C66" i="1"/>
  <c r="C67" i="1"/>
  <c r="AH67" i="1" s="1"/>
  <c r="C68" i="1"/>
  <c r="AD68" i="1" s="1"/>
  <c r="C69" i="1"/>
  <c r="AH69" i="1" s="1"/>
  <c r="C70" i="1"/>
  <c r="AI70" i="1" s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Z5" i="1"/>
  <c r="AC7" i="1"/>
  <c r="AC20" i="1"/>
  <c r="AD4" i="1"/>
  <c r="AD5" i="1"/>
  <c r="AD6" i="1"/>
  <c r="AD7" i="1"/>
  <c r="AH5" i="1"/>
  <c r="AI4" i="1"/>
  <c r="AI5" i="1"/>
  <c r="AI27" i="1"/>
  <c r="C2" i="1"/>
  <c r="W2" i="1"/>
  <c r="AI20" i="1" l="1"/>
  <c r="AI8" i="1"/>
  <c r="AI7" i="1"/>
  <c r="AI9" i="1"/>
  <c r="AH6" i="1"/>
  <c r="AH9" i="1"/>
  <c r="AH8" i="1"/>
  <c r="AI36" i="1"/>
  <c r="Z12" i="1"/>
  <c r="AC12" i="1"/>
  <c r="AI13" i="1"/>
  <c r="AD11" i="1"/>
  <c r="AH12" i="1"/>
  <c r="AI11" i="1"/>
  <c r="AC11" i="1"/>
  <c r="AH23" i="1"/>
  <c r="AH27" i="1"/>
  <c r="AH11" i="1"/>
  <c r="AH43" i="1"/>
  <c r="AI43" i="1"/>
  <c r="AC9" i="1"/>
  <c r="Z27" i="1"/>
  <c r="AI19" i="1"/>
  <c r="AI25" i="1"/>
  <c r="AH3" i="1"/>
  <c r="AD59" i="1"/>
  <c r="Y27" i="1"/>
  <c r="X13" i="1"/>
  <c r="AD24" i="1"/>
  <c r="AI38" i="1"/>
  <c r="AH24" i="1"/>
  <c r="AI56" i="1"/>
  <c r="D13" i="28" a="1"/>
  <c r="D13" i="28" s="1"/>
  <c r="D11" i="28" s="1"/>
  <c r="B3" i="32" a="1"/>
  <c r="B3" i="32" s="1"/>
  <c r="I3" i="32" s="1"/>
  <c r="AD12" i="1"/>
  <c r="Y12" i="1"/>
  <c r="AH28" i="1"/>
  <c r="X9" i="1"/>
  <c r="K3" i="32"/>
  <c r="AC28" i="1"/>
  <c r="AD25" i="1"/>
  <c r="AI41" i="1"/>
  <c r="AH41" i="1"/>
  <c r="AD56" i="1"/>
  <c r="Y3" i="1"/>
  <c r="F13" i="28" a="1"/>
  <c r="F13" i="28" s="1"/>
  <c r="F11" i="28" s="1"/>
  <c r="AC25" i="1"/>
  <c r="AI67" i="1"/>
  <c r="AD3" i="1"/>
  <c r="AK18" i="8" a="1"/>
  <c r="AK18" i="8" s="1"/>
  <c r="F3" i="32" a="1"/>
  <c r="F3" i="32" s="1"/>
  <c r="AH60" i="1"/>
  <c r="AI35" i="1"/>
  <c r="AI60" i="1"/>
  <c r="AH35" i="1"/>
  <c r="AC19" i="1"/>
  <c r="AH19" i="1"/>
  <c r="P13" i="28" a="1"/>
  <c r="P13" i="28" s="1"/>
  <c r="P11" i="28" s="1"/>
  <c r="AI44" i="1"/>
  <c r="N13" i="28" a="1"/>
  <c r="N13" i="28" s="1"/>
  <c r="N11" i="28" s="1"/>
  <c r="BE1" i="8" a="1"/>
  <c r="BE1" i="8" s="1"/>
  <c r="AA1" i="8" a="1"/>
  <c r="AA1" i="8" s="1"/>
  <c r="J13" i="28" a="1"/>
  <c r="J13" i="28" s="1"/>
  <c r="J11" i="28" s="1"/>
  <c r="AI29" i="1"/>
  <c r="L13" i="28" a="1"/>
  <c r="L13" i="28" s="1"/>
  <c r="L11" i="28" s="1"/>
  <c r="H13" i="28" a="1"/>
  <c r="H13" i="28" s="1"/>
  <c r="H11" i="28" s="1"/>
  <c r="X4" i="1"/>
  <c r="B13" i="28" a="1"/>
  <c r="B13" i="28" s="1"/>
  <c r="B11" i="28" s="1"/>
  <c r="X3" i="1"/>
  <c r="I3" i="7"/>
  <c r="I10" i="7" a="1"/>
  <c r="I10" i="7" s="1"/>
  <c r="U33" i="8" a="1"/>
  <c r="U33" i="8" s="1"/>
  <c r="U34" i="8" a="1"/>
  <c r="U34" i="8" s="1"/>
  <c r="AD20" i="1"/>
  <c r="AI68" i="1"/>
  <c r="I6" i="7" a="1"/>
  <c r="I6" i="7" s="1"/>
  <c r="AH52" i="1"/>
  <c r="AD36" i="1"/>
  <c r="Y20" i="1"/>
  <c r="AH68" i="1"/>
  <c r="X2" i="1"/>
  <c r="AD57" i="1"/>
  <c r="AC41" i="1"/>
  <c r="Z25" i="1"/>
  <c r="Z24" i="1"/>
  <c r="AC24" i="1"/>
  <c r="F2" i="7" a="1"/>
  <c r="F2" i="7" s="1"/>
  <c r="AD13" i="1"/>
  <c r="AC13" i="1"/>
  <c r="AI61" i="1"/>
  <c r="AD45" i="1"/>
  <c r="I12" i="7" a="1"/>
  <c r="I12" i="7" s="1"/>
  <c r="I11" i="7" a="1"/>
  <c r="I11" i="7" s="1"/>
  <c r="Z65" i="1"/>
  <c r="Z49" i="1"/>
  <c r="Z33" i="1"/>
  <c r="Z17" i="1"/>
  <c r="Z48" i="1"/>
  <c r="AH32" i="1"/>
  <c r="Z18" i="1"/>
  <c r="Y62" i="1"/>
  <c r="Y46" i="1"/>
  <c r="Y30" i="1"/>
  <c r="Y14" i="1"/>
  <c r="Z34" i="1"/>
  <c r="Z50" i="1"/>
  <c r="X12" i="1"/>
  <c r="Y59" i="1"/>
  <c r="X27" i="1"/>
  <c r="X11" i="1"/>
  <c r="Z66" i="1"/>
  <c r="AC42" i="1"/>
  <c r="X10" i="1"/>
  <c r="Y25" i="1"/>
  <c r="Z9" i="1"/>
  <c r="Z55" i="1"/>
  <c r="Z39" i="1"/>
  <c r="Z23" i="1"/>
  <c r="Z7" i="1"/>
  <c r="X38" i="1"/>
  <c r="X22" i="1"/>
  <c r="X69" i="1"/>
  <c r="X53" i="1"/>
  <c r="X37" i="1"/>
  <c r="X21" i="1"/>
  <c r="Z52" i="1"/>
  <c r="AH20" i="1"/>
  <c r="Z4" i="1"/>
  <c r="X64" i="1"/>
  <c r="AD67" i="1"/>
  <c r="AD65" i="1"/>
  <c r="AD60" i="1"/>
  <c r="Z40" i="1"/>
  <c r="AH49" i="1"/>
  <c r="AI65" i="1"/>
  <c r="AD50" i="1"/>
  <c r="AI33" i="1"/>
  <c r="AH33" i="1"/>
  <c r="AI17" i="1"/>
  <c r="AH65" i="1"/>
  <c r="AD18" i="1"/>
  <c r="AD33" i="1"/>
  <c r="AD66" i="1"/>
  <c r="AI57" i="1"/>
  <c r="AI28" i="1"/>
  <c r="AH57" i="1"/>
  <c r="AH25" i="1"/>
  <c r="AD49" i="1"/>
  <c r="AC43" i="1"/>
  <c r="AC4" i="1"/>
  <c r="AC40" i="1"/>
  <c r="AI24" i="1"/>
  <c r="AH54" i="1"/>
  <c r="AH22" i="1"/>
  <c r="AD41" i="1"/>
  <c r="AD9" i="1"/>
  <c r="AC36" i="1"/>
  <c r="Z60" i="1"/>
  <c r="Y44" i="1"/>
  <c r="AI54" i="1"/>
  <c r="AD44" i="1"/>
  <c r="Y57" i="1"/>
  <c r="AI49" i="1"/>
  <c r="AI23" i="1"/>
  <c r="AH53" i="1"/>
  <c r="AH21" i="1"/>
  <c r="AD40" i="1"/>
  <c r="AD8" i="1"/>
  <c r="AC29" i="1"/>
  <c r="Z57" i="1"/>
  <c r="Y28" i="1"/>
  <c r="Z56" i="1"/>
  <c r="AI6" i="1"/>
  <c r="AH59" i="1"/>
  <c r="AH4" i="1"/>
  <c r="AD17" i="1"/>
  <c r="AC45" i="1"/>
  <c r="Z8" i="1"/>
  <c r="X8" i="1"/>
  <c r="AD54" i="1"/>
  <c r="Y7" i="1"/>
  <c r="Z6" i="1"/>
  <c r="AC39" i="1"/>
  <c r="AD39" i="1"/>
  <c r="Z29" i="1"/>
  <c r="AH61" i="1"/>
  <c r="Z21" i="1"/>
  <c r="AI53" i="1"/>
  <c r="AH29" i="1"/>
  <c r="AD61" i="1"/>
  <c r="AC5" i="1"/>
  <c r="Z13" i="1"/>
  <c r="Y5" i="1"/>
  <c r="AD29" i="1"/>
  <c r="AD53" i="1"/>
  <c r="AI69" i="1"/>
  <c r="AD22" i="1"/>
  <c r="AC21" i="1"/>
  <c r="AH45" i="1"/>
  <c r="AD21" i="1"/>
  <c r="AC54" i="1"/>
  <c r="X57" i="1"/>
  <c r="Y41" i="1"/>
  <c r="AD70" i="1"/>
  <c r="Y10" i="1"/>
  <c r="AD42" i="1"/>
  <c r="AC26" i="1"/>
  <c r="AI10" i="1"/>
  <c r="AH26" i="1"/>
  <c r="Z10" i="1"/>
  <c r="AI58" i="1"/>
  <c r="AC70" i="1"/>
  <c r="AI26" i="1"/>
  <c r="AD10" i="1"/>
  <c r="Y58" i="1"/>
  <c r="X26" i="1"/>
  <c r="AD26" i="1"/>
  <c r="AH42" i="1"/>
  <c r="AH10" i="1"/>
  <c r="AC38" i="1"/>
  <c r="Z22" i="1"/>
  <c r="AH58" i="1"/>
  <c r="AC69" i="1"/>
  <c r="Z69" i="1"/>
  <c r="AC52" i="1"/>
  <c r="Z46" i="1"/>
  <c r="Y23" i="1"/>
  <c r="AC23" i="1"/>
  <c r="Z58" i="1"/>
  <c r="AC51" i="1"/>
  <c r="Z59" i="1"/>
  <c r="AC68" i="1"/>
  <c r="Y52" i="1"/>
  <c r="AH30" i="1"/>
  <c r="Z51" i="1"/>
  <c r="X35" i="1"/>
  <c r="X14" i="1"/>
  <c r="AD46" i="1"/>
  <c r="Z36" i="1"/>
  <c r="AH46" i="1"/>
  <c r="AI46" i="1"/>
  <c r="Z28" i="1"/>
  <c r="Y60" i="1"/>
  <c r="AC44" i="1"/>
  <c r="AC14" i="1"/>
  <c r="Y4" i="1"/>
  <c r="AH62" i="1"/>
  <c r="AD62" i="1"/>
  <c r="Z68" i="1"/>
  <c r="AH14" i="1"/>
  <c r="AI14" i="1"/>
  <c r="AD30" i="1"/>
  <c r="Y36" i="1"/>
  <c r="X60" i="1"/>
  <c r="AC67" i="1"/>
  <c r="X41" i="1"/>
  <c r="Y55" i="1"/>
  <c r="Y68" i="1"/>
  <c r="Z45" i="1"/>
  <c r="Y51" i="1"/>
  <c r="AC53" i="1"/>
  <c r="Z42" i="1"/>
  <c r="Y43" i="1"/>
  <c r="Z70" i="1"/>
  <c r="AC62" i="1"/>
  <c r="Z61" i="1"/>
  <c r="Z54" i="1"/>
  <c r="AC22" i="1"/>
  <c r="Z53" i="1"/>
  <c r="AC46" i="1"/>
  <c r="Z14" i="1"/>
  <c r="Y61" i="1"/>
  <c r="Y21" i="1"/>
  <c r="X29" i="1"/>
  <c r="Y22" i="1"/>
  <c r="X59" i="1"/>
  <c r="Y54" i="1"/>
  <c r="X52" i="1"/>
  <c r="AD43" i="1"/>
  <c r="AC59" i="1"/>
  <c r="Z30" i="1"/>
  <c r="Y53" i="1"/>
  <c r="Y11" i="1"/>
  <c r="X45" i="1"/>
  <c r="X54" i="1"/>
  <c r="Y39" i="1"/>
  <c r="X43" i="1"/>
  <c r="Y38" i="1"/>
  <c r="X42" i="1"/>
  <c r="AI55" i="1"/>
  <c r="AI30" i="1"/>
  <c r="AH31" i="1"/>
  <c r="AD58" i="1"/>
  <c r="AD38" i="1"/>
  <c r="AC55" i="1"/>
  <c r="AC27" i="1"/>
  <c r="AC6" i="1"/>
  <c r="Z67" i="1"/>
  <c r="Z38" i="1"/>
  <c r="Y26" i="1"/>
  <c r="AI62" i="1"/>
  <c r="AI42" i="1"/>
  <c r="AI22" i="1"/>
  <c r="AI3" i="1"/>
  <c r="AH70" i="1"/>
  <c r="AH51" i="1"/>
  <c r="AD55" i="1"/>
  <c r="AD34" i="1"/>
  <c r="AD14" i="1"/>
  <c r="AC58" i="1"/>
  <c r="AC35" i="1"/>
  <c r="Z44" i="1"/>
  <c r="Z20" i="1"/>
  <c r="Y45" i="1"/>
  <c r="Y13" i="1"/>
  <c r="X68" i="1"/>
  <c r="X40" i="1"/>
  <c r="Y70" i="1"/>
  <c r="Y40" i="1"/>
  <c r="X36" i="1"/>
  <c r="X67" i="1"/>
  <c r="X30" i="1"/>
  <c r="X62" i="1"/>
  <c r="AI52" i="1"/>
  <c r="AH39" i="1"/>
  <c r="AD69" i="1"/>
  <c r="AD51" i="1"/>
  <c r="AC56" i="1"/>
  <c r="AC30" i="1"/>
  <c r="AC10" i="1"/>
  <c r="Z26" i="1"/>
  <c r="Z3" i="1"/>
  <c r="Y35" i="1"/>
  <c r="Y6" i="1"/>
  <c r="X61" i="1"/>
  <c r="X28" i="1"/>
  <c r="X58" i="1"/>
  <c r="Z31" i="1"/>
  <c r="Y42" i="1"/>
  <c r="Y19" i="1"/>
  <c r="X44" i="1"/>
  <c r="X19" i="1"/>
  <c r="AH15" i="1"/>
  <c r="AH40" i="1"/>
  <c r="AD35" i="1"/>
  <c r="Z62" i="1"/>
  <c r="Z19" i="1"/>
  <c r="Y56" i="1"/>
  <c r="Y29" i="1"/>
  <c r="Y8" i="1"/>
  <c r="X70" i="1"/>
  <c r="X63" i="1"/>
  <c r="AI31" i="1"/>
  <c r="AH63" i="1"/>
  <c r="AI48" i="1"/>
  <c r="AH47" i="1"/>
  <c r="Z47" i="1"/>
  <c r="AI64" i="1"/>
  <c r="AI47" i="1"/>
  <c r="Y67" i="1"/>
  <c r="AH64" i="1"/>
  <c r="AI63" i="1"/>
  <c r="AC63" i="1"/>
  <c r="X46" i="1"/>
  <c r="X24" i="1"/>
  <c r="AH16" i="1"/>
  <c r="AD37" i="1"/>
  <c r="AH37" i="1"/>
  <c r="Y37" i="1"/>
  <c r="Z37" i="1"/>
  <c r="AI37" i="1"/>
  <c r="AC37" i="1"/>
  <c r="Z64" i="1"/>
  <c r="Y15" i="1"/>
  <c r="AC16" i="1"/>
  <c r="AC32" i="1"/>
  <c r="X16" i="1"/>
  <c r="Z63" i="1"/>
  <c r="AD64" i="1"/>
  <c r="AD16" i="1"/>
  <c r="AC31" i="1"/>
  <c r="Y32" i="1"/>
  <c r="X15" i="1"/>
  <c r="AC15" i="1"/>
  <c r="AD48" i="1"/>
  <c r="AD63" i="1"/>
  <c r="AD47" i="1"/>
  <c r="AD31" i="1"/>
  <c r="AD15" i="1"/>
  <c r="AC48" i="1"/>
  <c r="Y31" i="1"/>
  <c r="AC47" i="1"/>
  <c r="AD32" i="1"/>
  <c r="AC64" i="1"/>
  <c r="Y69" i="1"/>
  <c r="Y48" i="1"/>
  <c r="X56" i="1"/>
  <c r="X32" i="1"/>
  <c r="Y47" i="1"/>
  <c r="X31" i="1"/>
  <c r="Z16" i="1"/>
  <c r="Z15" i="1"/>
  <c r="Y64" i="1"/>
  <c r="X51" i="1"/>
  <c r="Y16" i="1"/>
  <c r="AI16" i="1"/>
  <c r="Y63" i="1"/>
  <c r="X48" i="1"/>
  <c r="AI32" i="1"/>
  <c r="AI15" i="1"/>
  <c r="Z32" i="1"/>
  <c r="X47" i="1"/>
  <c r="AH48" i="1"/>
  <c r="AI18" i="1"/>
  <c r="AI34" i="1"/>
  <c r="AI50" i="1"/>
  <c r="Y65" i="1"/>
  <c r="Y49" i="1"/>
  <c r="Y33" i="1"/>
  <c r="Y17" i="1"/>
  <c r="AC66" i="1"/>
  <c r="AC50" i="1"/>
  <c r="AC34" i="1"/>
  <c r="AC18" i="1"/>
  <c r="X55" i="1"/>
  <c r="X39" i="1"/>
  <c r="X23" i="1"/>
  <c r="X7" i="1"/>
  <c r="AC65" i="1"/>
  <c r="AC49" i="1"/>
  <c r="AC33" i="1"/>
  <c r="AC17" i="1"/>
  <c r="Y66" i="1"/>
  <c r="Y50" i="1"/>
  <c r="Y34" i="1"/>
  <c r="Y18" i="1"/>
  <c r="AH66" i="1"/>
  <c r="AH50" i="1"/>
  <c r="AH34" i="1"/>
  <c r="AH18" i="1"/>
  <c r="X66" i="1"/>
  <c r="X50" i="1"/>
  <c r="X34" i="1"/>
  <c r="X18" i="1"/>
  <c r="X65" i="1"/>
  <c r="X49" i="1"/>
  <c r="X33" i="1"/>
  <c r="X17" i="1"/>
  <c r="AI66" i="1"/>
  <c r="AI2" i="1"/>
  <c r="AD2" i="1"/>
  <c r="AH2" i="1"/>
  <c r="AC2" i="1"/>
  <c r="Z2" i="1"/>
  <c r="Y2" i="1"/>
  <c r="L3" i="32" l="1"/>
  <c r="AH1" i="8" a="1"/>
  <c r="AH1" i="8" s="1"/>
  <c r="U35" i="8" a="1"/>
  <c r="U35" i="8" s="1"/>
  <c r="I5" i="7" s="1"/>
  <c r="P3" i="8"/>
  <c r="H23" i="18" s="1" a="1"/>
  <c r="H23" i="18" s="1"/>
  <c r="Q1" i="8" l="1"/>
  <c r="O65" i="1"/>
  <c r="O67" i="1"/>
  <c r="O54" i="1"/>
  <c r="O56" i="1"/>
  <c r="O38" i="1"/>
  <c r="O50" i="1"/>
  <c r="O23" i="1"/>
  <c r="O37" i="1"/>
  <c r="O12" i="1"/>
  <c r="O18" i="1"/>
  <c r="O8" i="1"/>
  <c r="O10" i="1"/>
  <c r="O6" i="1"/>
  <c r="O7" i="1"/>
  <c r="O61" i="1"/>
  <c r="O45" i="1"/>
  <c r="O57" i="1"/>
  <c r="O9" i="1"/>
  <c r="O14" i="1"/>
  <c r="O31" i="1"/>
  <c r="O5" i="1"/>
  <c r="O28" i="1"/>
  <c r="O63" i="1"/>
  <c r="O13" i="1"/>
  <c r="O16" i="1"/>
  <c r="O43" i="1"/>
  <c r="O17" i="1"/>
  <c r="O3" i="1"/>
  <c r="O62" i="1"/>
  <c r="O44" i="1"/>
  <c r="O51" i="1"/>
  <c r="O27" i="1"/>
  <c r="O34" i="1"/>
  <c r="O41" i="1"/>
  <c r="O4" i="1"/>
  <c r="O22" i="1"/>
  <c r="O20" i="1"/>
  <c r="O46" i="1"/>
  <c r="O24" i="1"/>
  <c r="O59" i="1"/>
  <c r="O25" i="1"/>
  <c r="O15" i="1"/>
  <c r="O11" i="1"/>
  <c r="O2" i="1"/>
  <c r="O21" i="1"/>
  <c r="O49" i="1"/>
  <c r="O40" i="1"/>
  <c r="O52" i="1"/>
  <c r="O42" i="1"/>
  <c r="O69" i="1"/>
  <c r="O39" i="1"/>
  <c r="O60" i="1"/>
  <c r="O53" i="1"/>
  <c r="O36" i="1"/>
  <c r="O33" i="1"/>
  <c r="O58" i="1"/>
  <c r="O47" i="1"/>
  <c r="O26" i="1"/>
  <c r="O35" i="1"/>
  <c r="O48" i="1"/>
  <c r="O70" i="1"/>
  <c r="O66" i="1"/>
  <c r="O68" i="1"/>
  <c r="O55" i="1"/>
  <c r="O32" i="1"/>
  <c r="O64" i="1"/>
  <c r="O30" i="1"/>
  <c r="O29" i="1"/>
  <c r="R3" i="8"/>
  <c r="R1" i="8"/>
  <c r="F7" i="7" a="1"/>
  <c r="F7" i="7" s="1"/>
  <c r="D7" i="7" a="1"/>
  <c r="D7" i="7" s="1"/>
  <c r="E4" i="23" s="1"/>
  <c r="I2" i="7" a="1"/>
  <c r="I2" i="7" s="1"/>
  <c r="F4" i="23" s="1"/>
  <c r="D2" i="7" a="1"/>
  <c r="D2" i="7" s="1"/>
  <c r="B7" i="7" a="1"/>
  <c r="B7" i="7" s="1"/>
  <c r="D4" i="23" s="1"/>
  <c r="B10" i="3" l="1"/>
  <c r="B8" i="3"/>
  <c r="B9" i="3"/>
  <c r="B7" i="3"/>
  <c r="B6" i="3"/>
  <c r="B6" i="5"/>
  <c r="B2" i="5"/>
  <c r="B3" i="5"/>
  <c r="B5" i="5"/>
  <c r="B4" i="5"/>
  <c r="B3" i="4"/>
  <c r="B2" i="4"/>
  <c r="B4" i="4"/>
  <c r="B6" i="4"/>
  <c r="B5" i="4"/>
  <c r="B5" i="3"/>
  <c r="B2" i="3"/>
  <c r="B3" i="3"/>
  <c r="B4" i="3"/>
  <c r="J21" i="19" a="1"/>
  <c r="J21" i="19" s="1"/>
  <c r="J21" i="24" a="1"/>
  <c r="J21" i="24" s="1"/>
  <c r="C18" i="7"/>
  <c r="G8" i="23" s="1"/>
  <c r="AB3" i="1"/>
  <c r="AK13" i="1"/>
  <c r="AK29" i="1"/>
  <c r="AK45" i="1"/>
  <c r="AK61" i="1"/>
  <c r="AK14" i="1"/>
  <c r="AK30" i="1"/>
  <c r="AK46" i="1"/>
  <c r="AK62" i="1"/>
  <c r="AK15" i="1"/>
  <c r="AK31" i="1"/>
  <c r="AK47" i="1"/>
  <c r="AK63" i="1"/>
  <c r="AK16" i="1"/>
  <c r="AK32" i="1"/>
  <c r="AK48" i="1"/>
  <c r="AK64" i="1"/>
  <c r="AK17" i="1"/>
  <c r="AK18" i="1"/>
  <c r="AK34" i="1"/>
  <c r="AK50" i="1"/>
  <c r="AK66" i="1"/>
  <c r="AK40" i="1"/>
  <c r="AK41" i="1"/>
  <c r="AK42" i="1"/>
  <c r="AK59" i="1"/>
  <c r="AK12" i="1"/>
  <c r="AK33" i="1"/>
  <c r="AK19" i="1"/>
  <c r="AK35" i="1"/>
  <c r="AK51" i="1"/>
  <c r="AK67" i="1"/>
  <c r="AK37" i="1"/>
  <c r="AK69" i="1"/>
  <c r="AK55" i="1"/>
  <c r="AK56" i="1"/>
  <c r="AK25" i="1"/>
  <c r="AK26" i="1"/>
  <c r="AK44" i="1"/>
  <c r="AK65" i="1"/>
  <c r="AK20" i="1"/>
  <c r="AK36" i="1"/>
  <c r="AK52" i="1"/>
  <c r="AK68" i="1"/>
  <c r="AK21" i="1"/>
  <c r="AK53" i="1"/>
  <c r="AK39" i="1"/>
  <c r="AK58" i="1"/>
  <c r="AK60" i="1"/>
  <c r="AK22" i="1"/>
  <c r="AK38" i="1"/>
  <c r="AK54" i="1"/>
  <c r="AK70" i="1"/>
  <c r="AK23" i="1"/>
  <c r="AK24" i="1"/>
  <c r="AK57" i="1"/>
  <c r="AK27" i="1"/>
  <c r="AK43" i="1"/>
  <c r="AK28" i="1"/>
  <c r="AK49" i="1"/>
  <c r="AK2" i="1"/>
  <c r="AK5" i="1"/>
  <c r="AK6" i="1"/>
  <c r="AK7" i="1"/>
  <c r="AK8" i="1"/>
  <c r="AK9" i="1"/>
  <c r="AK10" i="1"/>
  <c r="AK3" i="1"/>
  <c r="AK11" i="1"/>
  <c r="AK4" i="1"/>
  <c r="AF2" i="1"/>
  <c r="AF3" i="1"/>
  <c r="AF19" i="1"/>
  <c r="AF35" i="1"/>
  <c r="AF51" i="1"/>
  <c r="AF67" i="1"/>
  <c r="AF21" i="1"/>
  <c r="AF53" i="1"/>
  <c r="AF6" i="1"/>
  <c r="AF54" i="1"/>
  <c r="AF70" i="1"/>
  <c r="AF62" i="1"/>
  <c r="AF16" i="1"/>
  <c r="AF18" i="1"/>
  <c r="AF4" i="1"/>
  <c r="AF20" i="1"/>
  <c r="AF36" i="1"/>
  <c r="AF52" i="1"/>
  <c r="AF68" i="1"/>
  <c r="AF5" i="1"/>
  <c r="AF37" i="1"/>
  <c r="AF69" i="1"/>
  <c r="AF22" i="1"/>
  <c r="AF38" i="1"/>
  <c r="AF31" i="1"/>
  <c r="AF64" i="1"/>
  <c r="AF34" i="1"/>
  <c r="AF7" i="1"/>
  <c r="AF23" i="1"/>
  <c r="AF39" i="1"/>
  <c r="AF55" i="1"/>
  <c r="AF25" i="1"/>
  <c r="AF57" i="1"/>
  <c r="AF60" i="1"/>
  <c r="AF29" i="1"/>
  <c r="AF15" i="1"/>
  <c r="AF48" i="1"/>
  <c r="AF66" i="1"/>
  <c r="AF8" i="1"/>
  <c r="AF24" i="1"/>
  <c r="AF40" i="1"/>
  <c r="AF56" i="1"/>
  <c r="AF9" i="1"/>
  <c r="AF41" i="1"/>
  <c r="AF44" i="1"/>
  <c r="AF45" i="1"/>
  <c r="AF30" i="1"/>
  <c r="AF32" i="1"/>
  <c r="AF65" i="1"/>
  <c r="AF10" i="1"/>
  <c r="AF26" i="1"/>
  <c r="AF42" i="1"/>
  <c r="AF58" i="1"/>
  <c r="AF27" i="1"/>
  <c r="AF43" i="1"/>
  <c r="AF59" i="1"/>
  <c r="AF28" i="1"/>
  <c r="AF13" i="1"/>
  <c r="AF61" i="1"/>
  <c r="AF14" i="1"/>
  <c r="AF63" i="1"/>
  <c r="AF50" i="1"/>
  <c r="AF11" i="1"/>
  <c r="AF47" i="1"/>
  <c r="AF17" i="1"/>
  <c r="AF12" i="1"/>
  <c r="AF46" i="1"/>
  <c r="AF33" i="1"/>
  <c r="AF49" i="1"/>
  <c r="AE2" i="1"/>
  <c r="AE3" i="1"/>
  <c r="AE19" i="1"/>
  <c r="AE35" i="1"/>
  <c r="AE51" i="1"/>
  <c r="AE67" i="1"/>
  <c r="AE4" i="1"/>
  <c r="AE20" i="1"/>
  <c r="AE68" i="1"/>
  <c r="AE21" i="1"/>
  <c r="AE54" i="1"/>
  <c r="AE39" i="1"/>
  <c r="AE24" i="1"/>
  <c r="AE9" i="1"/>
  <c r="AE27" i="1"/>
  <c r="AE11" i="1"/>
  <c r="AE12" i="1"/>
  <c r="AE28" i="1"/>
  <c r="AE44" i="1"/>
  <c r="AE60" i="1"/>
  <c r="AE13" i="1"/>
  <c r="AE29" i="1"/>
  <c r="AE45" i="1"/>
  <c r="AE61" i="1"/>
  <c r="AE14" i="1"/>
  <c r="AE30" i="1"/>
  <c r="AE46" i="1"/>
  <c r="AE62" i="1"/>
  <c r="AE41" i="1"/>
  <c r="AE10" i="1"/>
  <c r="AE42" i="1"/>
  <c r="AE59" i="1"/>
  <c r="AE15" i="1"/>
  <c r="AE31" i="1"/>
  <c r="AE47" i="1"/>
  <c r="AE63" i="1"/>
  <c r="AE50" i="1"/>
  <c r="AE52" i="1"/>
  <c r="AE37" i="1"/>
  <c r="AE69" i="1"/>
  <c r="AE22" i="1"/>
  <c r="AE70" i="1"/>
  <c r="AE23" i="1"/>
  <c r="AE8" i="1"/>
  <c r="AE25" i="1"/>
  <c r="AE16" i="1"/>
  <c r="AE32" i="1"/>
  <c r="AE48" i="1"/>
  <c r="AE64" i="1"/>
  <c r="AE34" i="1"/>
  <c r="AE66" i="1"/>
  <c r="AE36" i="1"/>
  <c r="AE5" i="1"/>
  <c r="AE38" i="1"/>
  <c r="AE7" i="1"/>
  <c r="AE56" i="1"/>
  <c r="AE58" i="1"/>
  <c r="AE17" i="1"/>
  <c r="AE33" i="1"/>
  <c r="AE49" i="1"/>
  <c r="AE65" i="1"/>
  <c r="AE18" i="1"/>
  <c r="AE53" i="1"/>
  <c r="AE6" i="1"/>
  <c r="AE55" i="1"/>
  <c r="AE40" i="1"/>
  <c r="AE57" i="1"/>
  <c r="AE26" i="1"/>
  <c r="AE43" i="1"/>
  <c r="AA68" i="1"/>
  <c r="AA50" i="1"/>
  <c r="AA14" i="1"/>
  <c r="AA38" i="1"/>
  <c r="AA29" i="1"/>
  <c r="AA51" i="1"/>
  <c r="AA24" i="1"/>
  <c r="AA31" i="1"/>
  <c r="AA62" i="1"/>
  <c r="AA69" i="1"/>
  <c r="AA56" i="1"/>
  <c r="AA39" i="1"/>
  <c r="AA13" i="1"/>
  <c r="AA28" i="1"/>
  <c r="AB9" i="1"/>
  <c r="AA18" i="1"/>
  <c r="AA60" i="1"/>
  <c r="AA20" i="1"/>
  <c r="AA44" i="1"/>
  <c r="AA67" i="1"/>
  <c r="AB56" i="1"/>
  <c r="AA63" i="1"/>
  <c r="AA61" i="1"/>
  <c r="AA3" i="1"/>
  <c r="AA37" i="1"/>
  <c r="AA65" i="1"/>
  <c r="AB25" i="1"/>
  <c r="AA33" i="1"/>
  <c r="AA36" i="1"/>
  <c r="AA12" i="1"/>
  <c r="AA58" i="1"/>
  <c r="AA7" i="1"/>
  <c r="AA5" i="1"/>
  <c r="AA6" i="1"/>
  <c r="AA25" i="1"/>
  <c r="AA17" i="1"/>
  <c r="AA19" i="1"/>
  <c r="AA64" i="1"/>
  <c r="AA42" i="1"/>
  <c r="AB7" i="1"/>
  <c r="AA57" i="1"/>
  <c r="AA16" i="1"/>
  <c r="AA34" i="1"/>
  <c r="AA40" i="1"/>
  <c r="AA9" i="1"/>
  <c r="AA66" i="1"/>
  <c r="AA32" i="1"/>
  <c r="AA26" i="1"/>
  <c r="AA11" i="1"/>
  <c r="AA35" i="1"/>
  <c r="AA45" i="1"/>
  <c r="AA54" i="1"/>
  <c r="AA22" i="1"/>
  <c r="AA23" i="1"/>
  <c r="AA59" i="1"/>
  <c r="AA47" i="1"/>
  <c r="AA10" i="1"/>
  <c r="AB50" i="1"/>
  <c r="AA27" i="1"/>
  <c r="AA52" i="1"/>
  <c r="AA8" i="1"/>
  <c r="AA2" i="1"/>
  <c r="AA49" i="1"/>
  <c r="AA70" i="1"/>
  <c r="AA55" i="1"/>
  <c r="AA48" i="1"/>
  <c r="AA43" i="1"/>
  <c r="AA15" i="1"/>
  <c r="AA41" i="1"/>
  <c r="AB65" i="1"/>
  <c r="AA53" i="1"/>
  <c r="AA46" i="1"/>
  <c r="AA21" i="1"/>
  <c r="AA30" i="1"/>
  <c r="AA4" i="1"/>
  <c r="AB33" i="1"/>
  <c r="AB16" i="1"/>
  <c r="AB63" i="1"/>
  <c r="AB47" i="1"/>
  <c r="AB31" i="1"/>
  <c r="AB15" i="1"/>
  <c r="AB62" i="1"/>
  <c r="AB46" i="1"/>
  <c r="AB30" i="1"/>
  <c r="AB14" i="1"/>
  <c r="AB24" i="1"/>
  <c r="AB23" i="1"/>
  <c r="AB70" i="1"/>
  <c r="AB34" i="1"/>
  <c r="AB64" i="1"/>
  <c r="AB32" i="1"/>
  <c r="AB45" i="1"/>
  <c r="AB29" i="1"/>
  <c r="AB44" i="1"/>
  <c r="AB12" i="1"/>
  <c r="AB43" i="1"/>
  <c r="AB27" i="1"/>
  <c r="AB59" i="1"/>
  <c r="AB11" i="1"/>
  <c r="AB41" i="1"/>
  <c r="AB40" i="1"/>
  <c r="AB39" i="1"/>
  <c r="AB54" i="1"/>
  <c r="AB22" i="1"/>
  <c r="AB66" i="1"/>
  <c r="AB18" i="1"/>
  <c r="AB49" i="1"/>
  <c r="AB17" i="1"/>
  <c r="AB61" i="1"/>
  <c r="AB13" i="1"/>
  <c r="AB60" i="1"/>
  <c r="AB28" i="1"/>
  <c r="AB58" i="1"/>
  <c r="AB42" i="1"/>
  <c r="AB26" i="1"/>
  <c r="AB10" i="1"/>
  <c r="AB57" i="1"/>
  <c r="AB55" i="1"/>
  <c r="AB8" i="1"/>
  <c r="AB69" i="1"/>
  <c r="AB53" i="1"/>
  <c r="AB37" i="1"/>
  <c r="AB21" i="1"/>
  <c r="AB5" i="1"/>
  <c r="AB68" i="1"/>
  <c r="AB52" i="1"/>
  <c r="AB36" i="1"/>
  <c r="AB20" i="1"/>
  <c r="AB4" i="1"/>
  <c r="AB67" i="1"/>
  <c r="AB48" i="1"/>
  <c r="AB38" i="1"/>
  <c r="AB51" i="1"/>
  <c r="AB6" i="1"/>
  <c r="AB35" i="1"/>
  <c r="AB2" i="1"/>
  <c r="AB19" i="1"/>
  <c r="AJ2" i="1"/>
  <c r="AJ3" i="1"/>
  <c r="AJ19" i="1"/>
  <c r="AJ35" i="1"/>
  <c r="AJ51" i="1"/>
  <c r="AJ67" i="1"/>
  <c r="AJ4" i="1"/>
  <c r="AJ20" i="1"/>
  <c r="AJ36" i="1"/>
  <c r="AJ52" i="1"/>
  <c r="AJ68" i="1"/>
  <c r="AJ5" i="1"/>
  <c r="AJ21" i="1"/>
  <c r="AJ37" i="1"/>
  <c r="AJ53" i="1"/>
  <c r="AJ69" i="1"/>
  <c r="AJ38" i="1"/>
  <c r="AJ23" i="1"/>
  <c r="AJ24" i="1"/>
  <c r="AJ57" i="1"/>
  <c r="AJ10" i="1"/>
  <c r="AJ26" i="1"/>
  <c r="AJ42" i="1"/>
  <c r="AJ58" i="1"/>
  <c r="AJ62" i="1"/>
  <c r="AJ31" i="1"/>
  <c r="AJ16" i="1"/>
  <c r="AJ18" i="1"/>
  <c r="AJ54" i="1"/>
  <c r="AJ7" i="1"/>
  <c r="AJ25" i="1"/>
  <c r="AJ11" i="1"/>
  <c r="AJ27" i="1"/>
  <c r="AJ43" i="1"/>
  <c r="AJ59" i="1"/>
  <c r="AJ46" i="1"/>
  <c r="AJ63" i="1"/>
  <c r="AJ32" i="1"/>
  <c r="AJ49" i="1"/>
  <c r="AJ34" i="1"/>
  <c r="AJ70" i="1"/>
  <c r="AJ55" i="1"/>
  <c r="AJ40" i="1"/>
  <c r="AJ9" i="1"/>
  <c r="AJ12" i="1"/>
  <c r="AJ28" i="1"/>
  <c r="AJ44" i="1"/>
  <c r="AJ60" i="1"/>
  <c r="AJ30" i="1"/>
  <c r="AJ47" i="1"/>
  <c r="AJ48" i="1"/>
  <c r="AJ17" i="1"/>
  <c r="AJ65" i="1"/>
  <c r="AJ66" i="1"/>
  <c r="AJ6" i="1"/>
  <c r="AJ39" i="1"/>
  <c r="AJ56" i="1"/>
  <c r="AJ41" i="1"/>
  <c r="AJ13" i="1"/>
  <c r="AJ29" i="1"/>
  <c r="AJ45" i="1"/>
  <c r="AJ61" i="1"/>
  <c r="AJ14" i="1"/>
  <c r="AJ15" i="1"/>
  <c r="AJ64" i="1"/>
  <c r="AJ33" i="1"/>
  <c r="AJ50" i="1"/>
  <c r="AJ22" i="1"/>
  <c r="AJ8" i="1"/>
  <c r="G17" i="7"/>
  <c r="G18" i="7"/>
  <c r="E18" i="7"/>
  <c r="E7" i="23" s="1"/>
  <c r="C17" i="7"/>
  <c r="G7" i="23" s="1"/>
  <c r="C19" i="7"/>
  <c r="G6" i="23" s="1"/>
  <c r="E17" i="7"/>
  <c r="E6" i="23" s="1"/>
  <c r="F21" i="19" l="1" a="1"/>
  <c r="F21" i="19" s="1"/>
  <c r="AL11" i="8" a="1"/>
  <c r="AL11" i="8" s="1"/>
  <c r="F21" i="24" a="1"/>
  <c r="F21" i="24" s="1"/>
  <c r="AG4" i="26"/>
  <c r="AG5" i="26"/>
  <c r="AG6" i="26"/>
  <c r="AG3" i="26"/>
  <c r="AG19" i="26"/>
  <c r="AG20" i="26"/>
  <c r="AG21" i="26"/>
  <c r="AG18" i="26"/>
  <c r="K19" i="26"/>
  <c r="K20" i="26"/>
  <c r="K21" i="26"/>
  <c r="K18" i="26"/>
  <c r="K4" i="26"/>
  <c r="K5" i="26"/>
  <c r="K6" i="26"/>
  <c r="K3" i="26"/>
  <c r="A11" i="23" a="1"/>
  <c r="A11" i="23" s="1"/>
  <c r="B21" i="19" a="1"/>
  <c r="B21" i="19" s="1"/>
  <c r="B21" i="24" a="1"/>
  <c r="B21" i="24" s="1"/>
  <c r="E22" i="18" a="1"/>
  <c r="E22" i="18" s="1"/>
  <c r="B22" i="18" a="1"/>
  <c r="B22" i="18" s="1"/>
  <c r="Q2" i="1" l="1"/>
  <c r="Q30" i="1"/>
  <c r="R11" i="1"/>
  <c r="R26" i="1"/>
  <c r="R24" i="1"/>
  <c r="R69" i="1"/>
  <c r="R42" i="1"/>
  <c r="R46" i="1"/>
  <c r="R40" i="1"/>
  <c r="Q8" i="1"/>
  <c r="Q49" i="1"/>
  <c r="R8" i="1"/>
  <c r="Q55" i="1"/>
  <c r="Q10" i="1"/>
  <c r="R48" i="1"/>
  <c r="Q63" i="1"/>
  <c r="Q42" i="1"/>
  <c r="Q65" i="1"/>
  <c r="Q12" i="1"/>
  <c r="Q38" i="1"/>
  <c r="Q5" i="1"/>
  <c r="Q7" i="1"/>
  <c r="R30" i="1"/>
  <c r="R28" i="1"/>
  <c r="R33" i="1"/>
  <c r="R41" i="1"/>
  <c r="Q19" i="1"/>
  <c r="R5" i="1"/>
  <c r="R4" i="1"/>
  <c r="Q54" i="1"/>
  <c r="Q47" i="1"/>
  <c r="Q57" i="1"/>
  <c r="Q26" i="1"/>
  <c r="Q59" i="1"/>
  <c r="Q15" i="1"/>
  <c r="R6" i="1"/>
  <c r="R57" i="1"/>
  <c r="Q21" i="1"/>
  <c r="R55" i="1"/>
  <c r="R38" i="1"/>
  <c r="R56" i="1"/>
  <c r="Q44" i="1"/>
  <c r="R64" i="1"/>
  <c r="Q18" i="1"/>
  <c r="R51" i="1"/>
  <c r="Q56" i="1"/>
  <c r="Q28" i="1"/>
  <c r="R61" i="1"/>
  <c r="R44" i="1"/>
  <c r="Q3" i="1"/>
  <c r="Q24" i="1"/>
  <c r="R68" i="1"/>
  <c r="Q68" i="1"/>
  <c r="Q52" i="1"/>
  <c r="Q64" i="1"/>
  <c r="Q60" i="1"/>
  <c r="Q14" i="1"/>
  <c r="R36" i="1"/>
  <c r="Q58" i="1"/>
  <c r="Q66" i="1"/>
  <c r="R34" i="1"/>
  <c r="Q39" i="1"/>
  <c r="Q32" i="1"/>
  <c r="R53" i="1"/>
  <c r="Q22" i="1"/>
  <c r="R47" i="1"/>
  <c r="Q40" i="1"/>
  <c r="R54" i="1"/>
  <c r="Q36" i="1"/>
  <c r="R14" i="1"/>
  <c r="Q11" i="1"/>
  <c r="Q9" i="1"/>
  <c r="R7" i="1"/>
  <c r="R22" i="1"/>
  <c r="Q67" i="1"/>
  <c r="Q61" i="1"/>
  <c r="Q48" i="1"/>
  <c r="Q31" i="1"/>
  <c r="Q70" i="1"/>
  <c r="Q16" i="1"/>
  <c r="Q46" i="1"/>
  <c r="Q29" i="1"/>
  <c r="R32" i="1"/>
  <c r="R23" i="1"/>
  <c r="R13" i="1"/>
  <c r="Q25" i="1"/>
  <c r="Q20" i="1"/>
  <c r="R50" i="1"/>
  <c r="Q6" i="1"/>
  <c r="Q62" i="1"/>
  <c r="Q35" i="1"/>
  <c r="Q13" i="1"/>
  <c r="Q69" i="1"/>
  <c r="R18" i="1"/>
  <c r="Q37" i="1"/>
  <c r="Q51" i="1"/>
  <c r="Q53" i="1"/>
  <c r="Q41" i="1"/>
  <c r="R9" i="1"/>
  <c r="Q17" i="1"/>
  <c r="R37" i="1"/>
  <c r="R35" i="1"/>
  <c r="Q23" i="1"/>
  <c r="R65" i="1"/>
  <c r="Q45" i="1"/>
  <c r="R43" i="1"/>
  <c r="Q43" i="1"/>
  <c r="R29" i="1"/>
  <c r="R67" i="1"/>
  <c r="Q4" i="1"/>
  <c r="Q50" i="1"/>
  <c r="R10" i="1"/>
  <c r="Q34" i="1"/>
  <c r="R63" i="1"/>
  <c r="Q33" i="1"/>
  <c r="R19" i="1"/>
  <c r="Q27" i="1"/>
  <c r="R17" i="1"/>
  <c r="R49" i="1"/>
  <c r="R31" i="1"/>
  <c r="R27" i="1" l="1"/>
  <c r="R20" i="1"/>
  <c r="R52" i="1"/>
  <c r="R16" i="1"/>
  <c r="R2" i="1"/>
  <c r="K7" i="17"/>
  <c r="R62" i="1"/>
  <c r="R58" i="1"/>
  <c r="R66" i="1"/>
  <c r="R39" i="1"/>
  <c r="R25" i="1"/>
  <c r="R15" i="1"/>
  <c r="K6" i="17"/>
  <c r="R12" i="1"/>
  <c r="R60" i="1"/>
  <c r="R21" i="1"/>
  <c r="R70" i="1"/>
  <c r="R59" i="1"/>
  <c r="R3" i="1"/>
  <c r="R45" i="1"/>
  <c r="K5" i="17"/>
  <c r="K4" i="17"/>
  <c r="A7" i="17" l="1" a="1"/>
  <c r="A7" i="17" s="1"/>
  <c r="V14" i="8" a="1"/>
  <c r="V14" i="8" s="1"/>
  <c r="V15" i="8" s="1"/>
  <c r="S34" i="8" s="1"/>
  <c r="U17" i="8" l="1"/>
  <c r="U21" i="8" s="1"/>
  <c r="W21" i="8" s="1"/>
  <c r="U22" i="8" l="1"/>
  <c r="W22" i="8" s="1"/>
  <c r="U23" i="8"/>
  <c r="W23" i="8" s="1"/>
  <c r="U24" i="8"/>
  <c r="W24" i="8" s="1"/>
  <c r="U25" i="8" l="1"/>
  <c r="V25" i="8" s="1"/>
  <c r="W25" i="8"/>
  <c r="V16" i="8" l="1"/>
  <c r="I4" i="7" s="1" a="1"/>
  <c r="I4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83A07E-7C3F-4C4C-AEE7-FBFC848674F2}" keepAlive="1" name="ThisWorkbookDataModel" description="מודל נתונים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325D03F-C022-479A-AC7D-592C10E56822}" name="WorksheetConnection_ניהול עובדים עתיקה 160523.xlsm!tbLate" type="102" refreshedVersion="8" minRefreshableVersion="5">
    <extLst>
      <ext xmlns:x15="http://schemas.microsoft.com/office/spreadsheetml/2010/11/main" uri="{DE250136-89BD-433C-8126-D09CA5730AF9}">
        <x15:connection id="tbLate">
          <x15:rangePr sourceName="_xlcn.WorksheetConnection_ניהולעובדיםעתיקה160523.xlsmtbLate1"/>
        </x15:connection>
      </ext>
    </extLst>
  </connection>
  <connection id="3" xr16:uid="{D73842D5-C1A4-4807-B528-A3701EEF821D}" name="WorksheetConnection_ניהול עובדים עתיקה 160523.xlsm!tbShetchExam" type="102" refreshedVersion="8" minRefreshableVersion="5">
    <extLst>
      <ext xmlns:x15="http://schemas.microsoft.com/office/spreadsheetml/2010/11/main" uri="{DE250136-89BD-433C-8126-D09CA5730AF9}">
        <x15:connection id="tbShetchExam" autoDelete="1">
          <x15:rangePr sourceName="_xlcn.WorksheetConnection_ניהולעובדיםעתיקה160523.xlsmtbShetchExam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<sst xmlns="http://schemas.openxmlformats.org/spreadsheetml/2006/main" count="1582" uniqueCount="702">
  <si>
    <t>שם משפחה</t>
  </si>
  <si>
    <t>שם פרטי</t>
  </si>
  <si>
    <t>מס' זהות</t>
  </si>
  <si>
    <t>מס' טלפון</t>
  </si>
  <si>
    <t>כתובת - רחוב</t>
  </si>
  <si>
    <t>כתובת - שכונה/ישוב</t>
  </si>
  <si>
    <t>האם פעיל</t>
  </si>
  <si>
    <t>האם חובש</t>
  </si>
  <si>
    <t>האם מוסמך ע.שליטה</t>
  </si>
  <si>
    <t>האם מורשה ע.שליטה</t>
  </si>
  <si>
    <t>תאריך תחילת תעסוקה נוכחית</t>
  </si>
  <si>
    <t>תאריך הצ' בריאות נוכחית</t>
  </si>
  <si>
    <t>זמן להצ' בריאות באה</t>
  </si>
  <si>
    <t>ממוצע איחורים</t>
  </si>
  <si>
    <t>מס' תרגילים</t>
  </si>
  <si>
    <t>ציון ממוצע תרגילים</t>
  </si>
  <si>
    <t>מס' ביקורות</t>
  </si>
  <si>
    <t>ציון ממוצע ביקורות</t>
  </si>
  <si>
    <t>תאריך</t>
  </si>
  <si>
    <t>בוחן</t>
  </si>
  <si>
    <t>נבחן</t>
  </si>
  <si>
    <t>תוצאה</t>
  </si>
  <si>
    <t>הערות</t>
  </si>
  <si>
    <t>מס' פעם</t>
  </si>
  <si>
    <t>משמרת</t>
  </si>
  <si>
    <t>שם המאחר</t>
  </si>
  <si>
    <t>דקות איחור</t>
  </si>
  <si>
    <t>נושא</t>
  </si>
  <si>
    <t>פירוט</t>
  </si>
  <si>
    <t>לשיפור</t>
  </si>
  <si>
    <t>לשימור</t>
  </si>
  <si>
    <t>ציון</t>
  </si>
  <si>
    <t>תרחיש</t>
  </si>
  <si>
    <t>כהן</t>
  </si>
  <si>
    <t>לוי</t>
  </si>
  <si>
    <t>פעיל</t>
  </si>
  <si>
    <t>לא פעיל</t>
  </si>
  <si>
    <t>שם מלא</t>
  </si>
  <si>
    <t>עבר</t>
  </si>
  <si>
    <t>מס' חורים</t>
  </si>
  <si>
    <t>מוסמך</t>
  </si>
  <si>
    <t>לא מוסמך</t>
  </si>
  <si>
    <t>מורשה</t>
  </si>
  <si>
    <t>לא מורשה</t>
  </si>
  <si>
    <t>בוקר07</t>
  </si>
  <si>
    <t>בוקר11</t>
  </si>
  <si>
    <t>צהרים13</t>
  </si>
  <si>
    <t>צהרים15</t>
  </si>
  <si>
    <t>צהרים19</t>
  </si>
  <si>
    <t>לילה23</t>
  </si>
  <si>
    <t>לילה03</t>
  </si>
  <si>
    <t>אחר</t>
  </si>
  <si>
    <t>מס' איחורים לא כולל חורים</t>
  </si>
  <si>
    <t>ציון מילולי</t>
  </si>
  <si>
    <t>לא טוב</t>
  </si>
  <si>
    <t>בינוני</t>
  </si>
  <si>
    <t>טוב</t>
  </si>
  <si>
    <t>לימודי</t>
  </si>
  <si>
    <t>בקרה</t>
  </si>
  <si>
    <t>נכשל</t>
  </si>
  <si>
    <t>משמרות</t>
  </si>
  <si>
    <t>חור</t>
  </si>
  <si>
    <t>שם המאבטח</t>
  </si>
  <si>
    <t>האם פעיל?</t>
  </si>
  <si>
    <t>האם חובש?</t>
  </si>
  <si>
    <t>כתובת</t>
  </si>
  <si>
    <t>פרטים כלליים</t>
  </si>
  <si>
    <t>בעבודה מאז:</t>
  </si>
  <si>
    <t>עבר בוחן שטח לפני:</t>
  </si>
  <si>
    <t>האם מורשה ע. שליטה?</t>
  </si>
  <si>
    <t>זמן עד לתום תוקף הצ' בריאות:</t>
  </si>
  <si>
    <t>היום</t>
  </si>
  <si>
    <t>תוצאת הבוחן האחרון</t>
  </si>
  <si>
    <t>לא ניגש</t>
  </si>
  <si>
    <t>ב.שטח עבר/לא עבר</t>
  </si>
  <si>
    <t>אם עבר - מתי?</t>
  </si>
  <si>
    <t>אם מתי - לפני כמה זמן זה?</t>
  </si>
  <si>
    <t>סטטוס</t>
  </si>
  <si>
    <t>ב.שטח</t>
  </si>
  <si>
    <t>ע.של'.הסמכה</t>
  </si>
  <si>
    <t>ע.של'.הרשאה</t>
  </si>
  <si>
    <t>תרגילים</t>
  </si>
  <si>
    <t>ביקורות</t>
  </si>
  <si>
    <t>מצב איחורים</t>
  </si>
  <si>
    <t>מס' איחורים בשנה האחרונה:</t>
  </si>
  <si>
    <t>מס' חורים בשנה האחרונה:</t>
  </si>
  <si>
    <t>ממוצע דקות באיחור:</t>
  </si>
  <si>
    <t>לפני שנה</t>
  </si>
  <si>
    <t>מצב ביקורות</t>
  </si>
  <si>
    <t>ציון ממוצע בביקורות:</t>
  </si>
  <si>
    <t>פירוט כל האיחורים והחורים:</t>
  </si>
  <si>
    <t>פירוט כל הביקורות:</t>
  </si>
  <si>
    <t>אחמ"ש</t>
  </si>
  <si>
    <t>מאבטח</t>
  </si>
  <si>
    <t>תפקיד</t>
  </si>
  <si>
    <t>תפקידים</t>
  </si>
  <si>
    <t>ראנד</t>
  </si>
  <si>
    <t>ראש צוות</t>
  </si>
  <si>
    <t>מוקד</t>
  </si>
  <si>
    <t>אחמש</t>
  </si>
  <si>
    <t>פירוט כל התרגילים:</t>
  </si>
  <si>
    <t>בוקר08</t>
  </si>
  <si>
    <t>מס'דק'איחור</t>
  </si>
  <si>
    <t>איחור בדק'/חור</t>
  </si>
  <si>
    <t>האם חור</t>
  </si>
  <si>
    <t>עומר</t>
  </si>
  <si>
    <t>אילן</t>
  </si>
  <si>
    <t>דניאל</t>
  </si>
  <si>
    <t>עדי</t>
  </si>
  <si>
    <t>מיכל</t>
  </si>
  <si>
    <t>נועה</t>
  </si>
  <si>
    <t>מזרחי</t>
  </si>
  <si>
    <t>תומר</t>
  </si>
  <si>
    <t>יונתן</t>
  </si>
  <si>
    <t>ניב</t>
  </si>
  <si>
    <t>פרץ</t>
  </si>
  <si>
    <t>חגי</t>
  </si>
  <si>
    <t>איש קשר-טלפון</t>
  </si>
  <si>
    <t>איש קשר-כתובת</t>
  </si>
  <si>
    <t>איש קשר-שם</t>
  </si>
  <si>
    <t>לא חובש</t>
  </si>
  <si>
    <t>יום בשבוע</t>
  </si>
  <si>
    <t>מס יום</t>
  </si>
  <si>
    <t>שם יום</t>
  </si>
  <si>
    <t>ראשון</t>
  </si>
  <si>
    <t>אות יום</t>
  </si>
  <si>
    <t>שני</t>
  </si>
  <si>
    <t>שלישי</t>
  </si>
  <si>
    <t>רביעי</t>
  </si>
  <si>
    <t>חמישי</t>
  </si>
  <si>
    <t>שישי</t>
  </si>
  <si>
    <t>שבת</t>
  </si>
  <si>
    <t>א'</t>
  </si>
  <si>
    <t>ב'</t>
  </si>
  <si>
    <t>ג'</t>
  </si>
  <si>
    <t>ד'</t>
  </si>
  <si>
    <t>ה'</t>
  </si>
  <si>
    <t>ו'</t>
  </si>
  <si>
    <t>ש'</t>
  </si>
  <si>
    <t>איש קשר למקרה הצורך:</t>
  </si>
  <si>
    <t>שם:</t>
  </si>
  <si>
    <t>מספרי</t>
  </si>
  <si>
    <t>שלילית</t>
  </si>
  <si>
    <t>ציון ממוצע</t>
  </si>
  <si>
    <t>מס' ימים בעבודה</t>
  </si>
  <si>
    <t>מס' פעמים שניגש</t>
  </si>
  <si>
    <t>פעילים</t>
  </si>
  <si>
    <t>עברו</t>
  </si>
  <si>
    <t>לא עברו, פחות מחודש</t>
  </si>
  <si>
    <t>לא עברו (חסר מידע זמן הגעה)</t>
  </si>
  <si>
    <t>תאריך גרסה: 05/2023</t>
  </si>
  <si>
    <t>מידע עובדים עתיקה</t>
  </si>
  <si>
    <t>הוספת מידע חדש</t>
  </si>
  <si>
    <t>הצגת מידע על מאבטח</t>
  </si>
  <si>
    <t>הזן שם כאן:</t>
  </si>
  <si>
    <t>הצגת מידע על נושא</t>
  </si>
  <si>
    <t>שם</t>
  </si>
  <si>
    <t>זמן בעתיקה</t>
  </si>
  <si>
    <t>מספר פעמים שניגש</t>
  </si>
  <si>
    <t>מס' ביקורות בשנה האחרונה:</t>
  </si>
  <si>
    <t>מצב תרגילים</t>
  </si>
  <si>
    <t>לפני חודש</t>
  </si>
  <si>
    <t>שנים ביום</t>
  </si>
  <si>
    <t>שנים בשבוע</t>
  </si>
  <si>
    <t>שנים בחודש</t>
  </si>
  <si>
    <t>ימים</t>
  </si>
  <si>
    <t>שבועות</t>
  </si>
  <si>
    <t>חודשים</t>
  </si>
  <si>
    <t>שנים</t>
  </si>
  <si>
    <t>הפרש זמנים</t>
  </si>
  <si>
    <t>כתובת מייל</t>
  </si>
  <si>
    <t>איחורים / חורים</t>
  </si>
  <si>
    <t>מאחרים בחודשיים אחרונים</t>
  </si>
  <si>
    <t>פתיחת קובץ עזר לעריכה</t>
  </si>
  <si>
    <t>קובץ לפתיחה:</t>
  </si>
  <si>
    <t>הוספת דיווח איחורים.xlsm</t>
  </si>
  <si>
    <t>נתיב (ללא "\" בסוף):</t>
  </si>
  <si>
    <t>שמות קבצים (כולל סיומת):</t>
  </si>
  <si>
    <t>לא להיבהל משגיאת value כאשר "לא ניגש"</t>
  </si>
  <si>
    <t>C:\Users\Moked Kishla\Desktop\סגן\קובץ ניהול עובדים 2023\קובצי עזר</t>
  </si>
  <si>
    <t>054-1234567</t>
  </si>
  <si>
    <t>טלפון:</t>
  </si>
  <si>
    <t>כתובת:</t>
  </si>
  <si>
    <t>נהלים</t>
  </si>
  <si>
    <t>חפץ חשוד</t>
  </si>
  <si>
    <t>פתח מנהרות</t>
  </si>
  <si>
    <t>הסעה</t>
  </si>
  <si>
    <t>סיור</t>
  </si>
  <si>
    <t>מצלמות</t>
  </si>
  <si>
    <t>הכרזות</t>
  </si>
  <si>
    <t>היכרות שטח/מתחם</t>
  </si>
  <si>
    <t>ציוד</t>
  </si>
  <si>
    <t>מוקדי שליטה</t>
  </si>
  <si>
    <t>נושאי ביקורות</t>
  </si>
  <si>
    <t>מס' תרגילים בשנה האחרונה:</t>
  </si>
  <si>
    <t>ציון ממוצע בתרגילים:</t>
  </si>
  <si>
    <t>מס' תרגילים בשנה אחרונה</t>
  </si>
  <si>
    <t>מס' איחורים בחודשיים אחרונים</t>
  </si>
  <si>
    <t>לפני חודשיים</t>
  </si>
  <si>
    <t>מס' חורים בחודשיים אחרונים</t>
  </si>
  <si>
    <t>מחוררים בחודשיים אחרונים</t>
  </si>
  <si>
    <t>u24</t>
  </si>
  <si>
    <t>u17</t>
  </si>
  <si>
    <t>YEARFRAC(V15,TodayCell)</t>
  </si>
  <si>
    <t>ROUNDDOWN(YEARFRAC(V15,TodayCell),0)</t>
  </si>
  <si>
    <t>w24</t>
  </si>
  <si>
    <t>u23</t>
  </si>
  <si>
    <t>w23</t>
  </si>
  <si>
    <t>w21</t>
  </si>
  <si>
    <t>u21</t>
  </si>
  <si>
    <t>u20</t>
  </si>
  <si>
    <t>1/12</t>
  </si>
  <si>
    <t>IFERROR(ROUNDDOWN(MOD(YEARFRAC(V15,TodayCell)/(1/12),12),0),"e")</t>
  </si>
  <si>
    <t>u18</t>
  </si>
  <si>
    <t>u19</t>
  </si>
  <si>
    <t>1/365</t>
  </si>
  <si>
    <t>1/52</t>
  </si>
  <si>
    <t>IF(IFERROR(ROUNDDOWN(MOD(YEARFRAC(V15,TodayCell)/(1/12),12),0),"e"),IFERROR(ROUNDDOWN(MOD(YEARFRAC(V15,TodayCell)/(1/12),12),0),"e")&amp;" "&amp;"חודשים","")</t>
  </si>
  <si>
    <t>w25</t>
  </si>
  <si>
    <t>זמן בעבודה קריא</t>
  </si>
  <si>
    <t>u22</t>
  </si>
  <si>
    <t>u25</t>
  </si>
  <si>
    <t>w22</t>
  </si>
  <si>
    <t>IFERROR(ROUNDDOWN(MOD(YEARFRAC(V15,TodayCell)/(1/365),30),0),"e")</t>
  </si>
  <si>
    <t>IFERROR(ROUNDDOWN(MOD(YEARFRAC(V15,TodayCell)/(1/52),52),0),"e")</t>
  </si>
  <si>
    <t>IF(ROUNDDOWN(YEARFRAC(V15,TodayCell),0),ROUNDDOWN(YEARFRAC(V15,TodayCell),0)&amp;" "&amp;"שנים","")</t>
  </si>
  <si>
    <t>IF(IFERROR(ROUNDDOWN(MOD(YEARFRAC(V15,TodayCell)/(1/365),30),0),"e"),IFERROR(ROUNDDOWN(MOD(YEARFRAC(V15,TodayCell)/(1/365),30),0),"e")&amp;" "&amp;"ימים","")</t>
  </si>
  <si>
    <t>IF(IFERROR(ROUNDDOWN(MOD(YEARFRAC(V15,TodayCell)/(1/52),52),0),"e"),IFERROR(ROUNDDOWN(MOD(YEARFRAC(V15,TodayCell)/(1/52),52),0),"e")&amp;" "&amp;"שבועות","")</t>
  </si>
  <si>
    <t>IF(ROUNDDOWN(YEARFRAC(V15,TodayCell),0),IF(ROUNDDOWN(YEARFRAC(V15,TodayCell),0),ROUNDDOWN(YEARFRAC(V15,TodayCell),0)&amp;" "&amp;"שנים",""),IF(IFERROR(ROUNDDOWN(MOD(YEARFRAC(V15,TodayCell)/(1/12),12),0),"e"),IF(IFERROR(ROUNDDOWN(MOD(YEARFRAC(V15,TodayCell)/(1/12),12),0),"e"),IFERROR(ROUNDDOWN(MOD(YEARFRAC(V15,TodayCell)/(1/12),12),0),"e")&amp;" "&amp;"חודשים",""),""))</t>
  </si>
  <si>
    <t>IF(ROUNDDOWN(YEARFRAC(V15,TodayCell),0),IF(IFERROR(ROUNDDOWN(MOD(YEARFRAC(V15,TodayCell)/(1/12),12),0),"e"),IF(IFERROR(ROUNDDOWN(MOD(YEARFRAC(V15,TodayCell)/(1/12),12),0),"e"),IFERROR(ROUNDDOWN(MOD(YEARFRAC(V15,TodayCell)/(1/12),12),0),"e")&amp;" "&amp;"חודשים",""),IF(IFERROR(ROUNDDOWN(MOD(YEARFRAC(V15,TodayCell)/(1/365),30),0),"e"),IF(IFERROR(ROUNDDOWN(MOD(YEARFRAC(V15,TodayCell)/(1/365),30),0),"e"),IFERROR(ROUNDDOWN(MOD(YEARFRAC(V15,TodayCell)/(1/365),30),0),"e")&amp;" "&amp;"ימים",""),"")),IF(IFERROR(ROUNDDOWN(MOD(YEARFRAC(V15,TodayCell)/(1/365),30),0),"e"),IF(IFERROR(ROUNDDOWN(MOD(YEARFRAC(V15,TodayCell)/(1/365),30),0),"e"),IFERROR(ROUNDDOWN(MOD(YEARFRAC(V15,TodayCell)/(1/365),30),0),"e")&amp;" "&amp;"ימים",""),""))</t>
  </si>
  <si>
    <t>בינונית</t>
  </si>
  <si>
    <t>האם בשנה האחרונה</t>
  </si>
  <si>
    <t>מס' ביקורות בשנה אחרונה</t>
  </si>
  <si>
    <t>ציון ממוצע ביקורות בשנה אחרונה</t>
  </si>
  <si>
    <t>עמודה פנויה</t>
  </si>
  <si>
    <t>מס' פעמים</t>
  </si>
  <si>
    <t>עברו ביקורות בשנה אחרונה</t>
  </si>
  <si>
    <t>לא עברו ביקורות בשנה אחרונה</t>
  </si>
  <si>
    <t>ציון ממוצע בשנה אחרונה</t>
  </si>
  <si>
    <t>ציון ממוצע תרגילים בשנה אחרונה</t>
  </si>
  <si>
    <t>לא עברו תרגילים בשנה אחרונה</t>
  </si>
  <si>
    <t>בעיות ידועות</t>
  </si>
  <si>
    <t>פיצ'רים חסרים</t>
  </si>
  <si>
    <t>גיליון מעקב ימי מחלה של מאבטח</t>
  </si>
  <si>
    <t>גיליון מעקב שיחות משמעת: תאריך, שם, תוצאות וכו</t>
  </si>
  <si>
    <t>גיליון מעקב איחורי הסעות למאבטח?</t>
  </si>
  <si>
    <t xml:space="preserve">רעיונות לעתיד </t>
  </si>
  <si>
    <t>שיפורים מומלצים</t>
  </si>
  <si>
    <t>ניקוי הקוד</t>
  </si>
  <si>
    <t>שחרור אובייקטים בסוף ריצה (להפוך אותם ל-Nothing)</t>
  </si>
  <si>
    <t>טופס עריכת מידע מאבטח - שוטף (סטטוס, כתובת וכו), מיוחד (שם, ת.ז. וכו)</t>
  </si>
  <si>
    <t>עדכון אוטו' של עיצוב דף הדפסה</t>
  </si>
  <si>
    <t>רשימות נפתחות - בחלקן השמות מוסתרים חלקית</t>
  </si>
  <si>
    <t>פתיחת טופס ישר משולחן עבודה</t>
  </si>
  <si>
    <t>כלי ניהול הצהרות בריאות (עתידים להסתיים, תוזכרו וכו)</t>
  </si>
  <si>
    <t>גיבוי אוטו'/ידני</t>
  </si>
  <si>
    <t>זיהוי והתרעה על שינויים בשמות בקובץ (קובץ, נתיב, גיליונות, טווחים, עמודות וכו)</t>
  </si>
  <si>
    <t>שימוש בcodename במקום בשמות גיליונות</t>
  </si>
  <si>
    <t>תמיד שואל אם לשמור שינויים לפני סגירה</t>
  </si>
  <si>
    <t>הרבה קוד חוזר, במקום שימוש בפונ'/סאבים ייעודיים</t>
  </si>
  <si>
    <t>לעשות option explicit על כל הקודים, ולחייב הצהרה מפורשת על כל משתנה</t>
  </si>
  <si>
    <t>אין התמודדות ראויה עם שם זהה למס' מאבטחים</t>
  </si>
  <si>
    <t>טופס הוספת מאבטח</t>
  </si>
  <si>
    <t>קודים לריצה אוטו' לבדיקת שגיאות, פערים. דיווח עליהם</t>
  </si>
  <si>
    <t>דרך להתמודד עם תאריכים ישנים לא ידועים (הגעה, מעבר בוחן)</t>
  </si>
  <si>
    <t>עמודת "תאריך לידה" לכל מאבטח?</t>
  </si>
  <si>
    <t>משתנים ברורים לשמות עמודות, להקלה במקרה של שינוי מס' עמודות</t>
  </si>
  <si>
    <t>גמישות בטווח הזמנים "חודשיים אחרונים" וכו'</t>
  </si>
  <si>
    <t>ייצוא אלפון</t>
  </si>
  <si>
    <t>להוות מקור לקבצים אחרים: שמות, כתובות, תפקידים, מוסמכים וכו'</t>
  </si>
  <si>
    <t>עמודת "זמן יצירת השורה" בכל טבלה?</t>
  </si>
  <si>
    <t>הוספת Error Handling לכל הקודים, דגש בקריאות לpublicים</t>
  </si>
  <si>
    <t>חובש</t>
  </si>
  <si>
    <t>בעתיקה מאז-</t>
  </si>
  <si>
    <t>במקרה שחסר מידע בעת מילוי טופס (בפרט - מאבטח חדש) (למשל - פרטי איש קשר) - יש לאפשר מעקף, כך שיהיה קל אח"כ לרכז ע"י נוסחה את כל אלו שעבורם חסר מידע. (אם לא יינתן מעקף כזה מראש - בפועל אנשים סתם יזינו טקסט ויווצר רושם מטעה שיש מידע.)</t>
  </si>
  <si>
    <t>הזנת מאבטח חדש/כתובת - בכל לחיצה על 'הוספה' - זה מתחבר לשם הרחוב ויוצר כפילות במספר הרחוב</t>
  </si>
  <si>
    <t>ערנות</t>
  </si>
  <si>
    <t>להחליף ציון ביקורת שלילית מ-1 ל-0</t>
  </si>
  <si>
    <t>מאבטחים שטרם עברו בוחן שטח:</t>
  </si>
  <si>
    <t>ממוצע דקות איחור:</t>
  </si>
  <si>
    <t>הקוד עובד רק כאשר הקובץ הזה פתוח; אם הקוד נקרא מקובץ אחר - נזרקת שגיאה. האם למצוא לזה פתרון, או להתבסס על כך שהקוד ממילא ייקרא מתוך הקובץ?</t>
  </si>
  <si>
    <t>הרצת קוד טכני לניקוי שורות ריקות לגמרי, לזיהוי הפרות אימות נתונים, לסימון חריגות מוגדרות (מידע חסר לדוג')</t>
  </si>
  <si>
    <t>הודעה על הזנה תקינה? עם/בלי בדיקה</t>
  </si>
  <si>
    <t>בטפסים אחרי לחיצה על 'הוספה' - תרוץ בדיקה לאמת שהכל הוזן והודעה על כך; ואז אפשרות - לנקות ולסגור הטופס, לנקות ולהזאיר פתוח, לא לנקות ולהשאיר פתוח (מחייב אולי ניקוי עם הפתיחה)</t>
  </si>
  <si>
    <t>שיפור קוד כללי (גם בעזרת המלצות מGPT)</t>
  </si>
  <si>
    <t>חיובית</t>
  </si>
  <si>
    <t>שם אחרון</t>
  </si>
  <si>
    <t>^^תא טכני. אחראי להפעלת טריגר שינוי^^</t>
  </si>
  <si>
    <t>סידור לפי:</t>
  </si>
  <si>
    <t>תמצית תרגילים מהחודש האחרון (כולל מאבטחים לא פעילים)</t>
  </si>
  <si>
    <t>תמצית ביקורות מהחודש האחרון (כולל מאבטחים לא פעילים)</t>
  </si>
  <si>
    <t>(ציון בין 0 ל-10)</t>
  </si>
  <si>
    <t>(helpCells01_0=lsOptTest_0,helpCells01_2,helpCells01_0)</t>
  </si>
  <si>
    <t>תאי עזר עבור גיליון "חיפוש עובד", לחלון "עבר בוחן שטח לפני". (ע"מ להמנע מנוסחה ארוכה מדי שם)</t>
  </si>
  <si>
    <t>לא עברו, מעל חודש</t>
  </si>
  <si>
    <t>שם קודם:</t>
  </si>
  <si>
    <t>שם נוכחי:</t>
  </si>
  <si>
    <t>צריך עדכון?</t>
  </si>
  <si>
    <t>תפקיד:</t>
  </si>
  <si>
    <t>כל נושא הצהרות הבריאות: ריכוז, התרעות, עדכונים</t>
  </si>
  <si>
    <t>מעקב סד"כ (נדרש מעקב תאריכי הגעה/עזיבה, כולל ריבוי פעמים)</t>
  </si>
  <si>
    <t>מאבטחים פעילים:</t>
  </si>
  <si>
    <t>חובשים:</t>
  </si>
  <si>
    <t>יום בחודש</t>
  </si>
  <si>
    <t>חודש</t>
  </si>
  <si>
    <t>שנה</t>
  </si>
  <si>
    <t>לפני _ חודשים</t>
  </si>
  <si>
    <t>החודש היה</t>
  </si>
  <si>
    <t>השנה היתה</t>
  </si>
  <si>
    <t>חודש ושנה</t>
  </si>
  <si>
    <t>ביקורות בשנה אחרונה</t>
  </si>
  <si>
    <t>תרגילים בשנה אחרונה</t>
  </si>
  <si>
    <t>לפני _ שבועות</t>
  </si>
  <si>
    <t>השבוע היה</t>
  </si>
  <si>
    <t>שבוע ושנה</t>
  </si>
  <si>
    <t>איחורים</t>
  </si>
  <si>
    <t>חורים</t>
  </si>
  <si>
    <t>ציון ממוצע (עזר)</t>
  </si>
  <si>
    <t>כלל עתיקה</t>
  </si>
  <si>
    <t>הוספת דיווח ביקורת.xlsm</t>
  </si>
  <si>
    <t>הוספת דיווח תרגיל.xlsm</t>
  </si>
  <si>
    <t>הוספת דיווח בוחן שטח.xlsm</t>
  </si>
  <si>
    <t>עמדות שליטה:</t>
  </si>
  <si>
    <t>מוסמכים ומורשים</t>
  </si>
  <si>
    <t>לא מוסמכים</t>
  </si>
  <si>
    <t>הסמכות</t>
  </si>
  <si>
    <t>מוסמכים ולא מורשים</t>
  </si>
  <si>
    <t>ע.שליטה</t>
  </si>
  <si>
    <t>הסמכה</t>
  </si>
  <si>
    <t>חובשים</t>
  </si>
  <si>
    <t>לא חובשים</t>
  </si>
  <si>
    <t>מס' פלאפון</t>
  </si>
  <si>
    <t>נהגים</t>
  </si>
  <si>
    <t>עמדות שליטה</t>
  </si>
  <si>
    <t>בעלי תפקיד</t>
  </si>
  <si>
    <t>מס' שבוע</t>
  </si>
  <si>
    <t>תאריך הוצאת הצהרת בריאות</t>
  </si>
  <si>
    <t>זמן לחידוש</t>
  </si>
  <si>
    <t>נהג</t>
  </si>
  <si>
    <t>תאריך הוצאה חסר</t>
  </si>
  <si>
    <t>שמות פעילים לטפסים:</t>
  </si>
  <si>
    <t>מס' שורה</t>
  </si>
  <si>
    <r>
      <t xml:space="preserve">עברו תרגילים בשנה אחרונה </t>
    </r>
    <r>
      <rPr>
        <b/>
        <sz val="9"/>
        <color theme="1"/>
        <rFont val="Arial"/>
        <family val="2"/>
        <scheme val="minor"/>
      </rPr>
      <t>(ציון מ-0 עד 10)</t>
    </r>
  </si>
  <si>
    <t>עריכת מידע קיים</t>
  </si>
  <si>
    <t>-</t>
  </si>
  <si>
    <t>סיסמה להגנת גיליונות:</t>
  </si>
  <si>
    <t>לא לשנות סתם, הקוד לוקח מזה מידע</t>
  </si>
  <si>
    <t>סידור קודם:</t>
  </si>
  <si>
    <t>סידור נוכחי:</t>
  </si>
  <si>
    <t>פרטי מאחרים לטפסים:</t>
  </si>
  <si>
    <t>פרטי איחור לעריכה</t>
  </si>
  <si>
    <r>
      <t>לחצני ביטול והשבת קודים המופעלים ע"י אירועים</t>
    </r>
    <r>
      <rPr>
        <sz val="9"/>
        <color theme="1"/>
        <rFont val="Arial"/>
        <family val="2"/>
        <scheme val="minor"/>
      </rPr>
      <t xml:space="preserve"> (כגון פתיחת גיליון, עריכת תא וכו')</t>
    </r>
  </si>
  <si>
    <t>רשימות לשימוש כלל הקובץ</t>
  </si>
  <si>
    <t>פרטי מאבטח לעריכה</t>
  </si>
  <si>
    <t xml:space="preserve">רשימת כל השמות לשימוש בכלל הקובץ בלי בעיות שנוצרות משימוש בשם הטווח, או שם העמודה, וללא שרבוב "שם מלא" </t>
  </si>
  <si>
    <t>אלון</t>
  </si>
  <si>
    <t>יובל</t>
  </si>
  <si>
    <t>כתובת - שם רחוב</t>
  </si>
  <si>
    <t>כתובת - מס' רחוב</t>
  </si>
  <si>
    <t>יאיר</t>
  </si>
  <si>
    <t>בורוכוב</t>
  </si>
  <si>
    <r>
      <rPr>
        <sz val="11"/>
        <color theme="0"/>
        <rFont val="Arial"/>
        <family val="2"/>
        <scheme val="minor"/>
      </rPr>
      <t>איש קשר</t>
    </r>
    <r>
      <rPr>
        <sz val="11"/>
        <color theme="0"/>
        <rFont val="Arial"/>
        <family val="2"/>
        <scheme val="minor"/>
      </rPr>
      <t>-טלפון</t>
    </r>
  </si>
  <si>
    <t>איש קשר - שם מלא</t>
  </si>
  <si>
    <t>איש קשר - טיב קשר</t>
  </si>
  <si>
    <t>יום</t>
  </si>
  <si>
    <t>זמן איחור</t>
  </si>
  <si>
    <t>לפני שבוע</t>
  </si>
  <si>
    <t>רשימת איחורים וחורים בשבוע האחרון</t>
  </si>
  <si>
    <t>כתובת מלאה להסעות</t>
  </si>
  <si>
    <t>הודעה לשליחה</t>
  </si>
  <si>
    <t>מקור להודעה</t>
  </si>
  <si>
    <t>טלפון</t>
  </si>
  <si>
    <t>קישור</t>
  </si>
  <si>
    <t>שליחת הודעה</t>
  </si>
  <si>
    <t>בחירת מאבטח</t>
  </si>
  <si>
    <t xml:space="preserve"> נגמר לך תוקף הצהרת הבריאות.
נא ללכת לרופא ולהוציא הצהרת בריאות חדשה.
במידה ואתה נדרש לשלם לקופת החולים עבור הצהרת הבריאות - יש להעביר את הקבלה לאלינוי על מנת לקבל החזר.
את הצהרת הבריאות יש לצלם (להשקיע בצילום) ולשלוח אליי את הצילום. 
יש לשמור על הצהרת הבריאות המקורית אצלכם - יכול להיות שתצטרכו להשתמש בה בעתיד
ניתן לקחת טופס מהמוקד או להדפיס עצמאית.</t>
  </si>
  <si>
    <t>אורי</t>
  </si>
  <si>
    <t>שפירא</t>
  </si>
  <si>
    <t>בן דוד</t>
  </si>
  <si>
    <t>מאיה</t>
  </si>
  <si>
    <t>רוזן</t>
  </si>
  <si>
    <t>נעם</t>
  </si>
  <si>
    <t>יעל</t>
  </si>
  <si>
    <t>גרין</t>
  </si>
  <si>
    <t>איתי</t>
  </si>
  <si>
    <t>פרידמן</t>
  </si>
  <si>
    <t>רונית</t>
  </si>
  <si>
    <t>ברק</t>
  </si>
  <si>
    <t>גולדשטיין</t>
  </si>
  <si>
    <t>רובין</t>
  </si>
  <si>
    <t>תמר</t>
  </si>
  <si>
    <t>רז</t>
  </si>
  <si>
    <t>אלעד</t>
  </si>
  <si>
    <t>שמש</t>
  </si>
  <si>
    <t>שדה</t>
  </si>
  <si>
    <t>ליאור</t>
  </si>
  <si>
    <t>לביא</t>
  </si>
  <si>
    <t>ברגר</t>
  </si>
  <si>
    <t>סיוון</t>
  </si>
  <si>
    <t>רוזנבלום</t>
  </si>
  <si>
    <t>טל</t>
  </si>
  <si>
    <t>הורוביץ</t>
  </si>
  <si>
    <t>יואב</t>
  </si>
  <si>
    <t>ניצן</t>
  </si>
  <si>
    <t>רותם</t>
  </si>
  <si>
    <t>קפלן</t>
  </si>
  <si>
    <t>שרון</t>
  </si>
  <si>
    <t>גלי</t>
  </si>
  <si>
    <t>עוז</t>
  </si>
  <si>
    <t>אלוני</t>
  </si>
  <si>
    <t>רועי</t>
  </si>
  <si>
    <t>זלצר</t>
  </si>
  <si>
    <t>שמר</t>
  </si>
  <si>
    <t>גל</t>
  </si>
  <si>
    <t>לרנר</t>
  </si>
  <si>
    <t>קנטור</t>
  </si>
  <si>
    <t>אופיר</t>
  </si>
  <si>
    <t>אבידן</t>
  </si>
  <si>
    <t>שירה</t>
  </si>
  <si>
    <t>ברוש</t>
  </si>
  <si>
    <t>עידן</t>
  </si>
  <si>
    <t>יערה</t>
  </si>
  <si>
    <t>דרורי</t>
  </si>
  <si>
    <t>רפפורט</t>
  </si>
  <si>
    <t>פלדמן</t>
  </si>
  <si>
    <t>בלום</t>
  </si>
  <si>
    <t>גיל</t>
  </si>
  <si>
    <t>בן ארי</t>
  </si>
  <si>
    <t>פרל</t>
  </si>
  <si>
    <t>הררי</t>
  </si>
  <si>
    <t>יוני</t>
  </si>
  <si>
    <t>שגיא</t>
  </si>
  <si>
    <t>ליאת</t>
  </si>
  <si>
    <t>קרמר</t>
  </si>
  <si>
    <t>דנה</t>
  </si>
  <si>
    <t>מגן</t>
  </si>
  <si>
    <t>נדב</t>
  </si>
  <si>
    <t>לבני</t>
  </si>
  <si>
    <t>ברונר</t>
  </si>
  <si>
    <t>שמיר</t>
  </si>
  <si>
    <t>אביגיל</t>
  </si>
  <si>
    <t>דיין</t>
  </si>
  <si>
    <t>חסון</t>
  </si>
  <si>
    <t>זילברמן</t>
  </si>
  <si>
    <t>פרידלנדר</t>
  </si>
  <si>
    <t>נמרוד</t>
  </si>
  <si>
    <t>נחשון</t>
  </si>
  <si>
    <t>שחם</t>
  </si>
  <si>
    <t>אביטן</t>
  </si>
  <si>
    <t>גבאי</t>
  </si>
  <si>
    <t>אורן</t>
  </si>
  <si>
    <t>דקל</t>
  </si>
  <si>
    <t>בן חיים</t>
  </si>
  <si>
    <t>פלג</t>
  </si>
  <si>
    <t>הראל</t>
  </si>
  <si>
    <t>רימון</t>
  </si>
  <si>
    <t>מור</t>
  </si>
  <si>
    <t>ניר</t>
  </si>
  <si>
    <t>כץ</t>
  </si>
  <si>
    <t>0-1234567-8</t>
  </si>
  <si>
    <t>3-9876543-1</t>
  </si>
  <si>
    <t>3-5678901-2</t>
  </si>
  <si>
    <t>3-1122334-5</t>
  </si>
  <si>
    <t>3-5544332-6</t>
  </si>
  <si>
    <t>0-9988776-3</t>
  </si>
  <si>
    <t>3-3456789-0</t>
  </si>
  <si>
    <t>3-4455667-8</t>
  </si>
  <si>
    <t>3-5566778-2</t>
  </si>
  <si>
    <t>3-2233445-9</t>
  </si>
  <si>
    <t>2-3344556-7</t>
  </si>
  <si>
    <t>3-7788990-1</t>
  </si>
  <si>
    <t>3-6677889-2</t>
  </si>
  <si>
    <t>3-5566990-3</t>
  </si>
  <si>
    <t>3-1100223-4</t>
  </si>
  <si>
    <t>3-2233445-6</t>
  </si>
  <si>
    <t>3-9988776-8</t>
  </si>
  <si>
    <t>3-4455667-2</t>
  </si>
  <si>
    <t>3-5566778-1</t>
  </si>
  <si>
    <t>3-1122334-6</t>
  </si>
  <si>
    <t>2-3344556-3</t>
  </si>
  <si>
    <t>3-9988776-4</t>
  </si>
  <si>
    <t>3-4455667-9</t>
  </si>
  <si>
    <t>2-3344556-8</t>
  </si>
  <si>
    <t>3-1122334-9</t>
  </si>
  <si>
    <t>3-9988776-2</t>
  </si>
  <si>
    <t>3-4455667-4</t>
  </si>
  <si>
    <t>3-5566778-0</t>
  </si>
  <si>
    <t>2-3344556-1</t>
  </si>
  <si>
    <t>2-9988776-5</t>
  </si>
  <si>
    <t>2-4455667-9</t>
  </si>
  <si>
    <t>3-6677889-1</t>
  </si>
  <si>
    <t>2-5566778-0</t>
  </si>
  <si>
    <t>3-3344556-9</t>
  </si>
  <si>
    <t>3-9988776-7</t>
  </si>
  <si>
    <t>3-2233445-3</t>
  </si>
  <si>
    <t>3-4455667-1</t>
  </si>
  <si>
    <t>3-5566778-5</t>
  </si>
  <si>
    <t>2-9988776-6</t>
  </si>
  <si>
    <t>2-6677889-7</t>
  </si>
  <si>
    <t>3-3344556-8</t>
  </si>
  <si>
    <t>3-4455667-0</t>
  </si>
  <si>
    <t>3-2233445-4</t>
  </si>
  <si>
    <t>0-9988776-1</t>
  </si>
  <si>
    <t>3-5566778-3</t>
  </si>
  <si>
    <t>3-4455667-7</t>
  </si>
  <si>
    <t>2-9988776-4</t>
  </si>
  <si>
    <t>3-6677889-5</t>
  </si>
  <si>
    <t>3-2233445-2</t>
  </si>
  <si>
    <t>3-5566778-4</t>
  </si>
  <si>
    <t>2-3344556-9</t>
  </si>
  <si>
    <t>2-6677889-3</t>
  </si>
  <si>
    <t>2-9988776-8</t>
  </si>
  <si>
    <t>3-4455667-3</t>
  </si>
  <si>
    <t>2-5566778-9</t>
  </si>
  <si>
    <t>3-6677889-0</t>
  </si>
  <si>
    <t>2-3344556-0</t>
  </si>
  <si>
    <t>3-4455667-5</t>
  </si>
  <si>
    <t>3-2233445-7</t>
  </si>
  <si>
    <t>3-9988776-9</t>
  </si>
  <si>
    <t>050-1234567</t>
  </si>
  <si>
    <t>055-7654321</t>
  </si>
  <si>
    <t>052-9876543</t>
  </si>
  <si>
    <t>053-8765432</t>
  </si>
  <si>
    <t>053-2345678</t>
  </si>
  <si>
    <t>054-5678901</t>
  </si>
  <si>
    <t>052-3456789</t>
  </si>
  <si>
    <t>050-6543210</t>
  </si>
  <si>
    <t>053-4567890</t>
  </si>
  <si>
    <t>053-7654321</t>
  </si>
  <si>
    <t>050-2345678</t>
  </si>
  <si>
    <t>058-9876543</t>
  </si>
  <si>
    <t>052-1234567</t>
  </si>
  <si>
    <t>053-6543210</t>
  </si>
  <si>
    <t>052-8765432</t>
  </si>
  <si>
    <t>052-7654321</t>
  </si>
  <si>
    <t>054-9876543</t>
  </si>
  <si>
    <t>050-8765432</t>
  </si>
  <si>
    <t>054-2345678</t>
  </si>
  <si>
    <t>058-3456789</t>
  </si>
  <si>
    <t>054-7654321</t>
  </si>
  <si>
    <t>050-5678901</t>
  </si>
  <si>
    <t>054-6543210</t>
  </si>
  <si>
    <t>054-8765432</t>
  </si>
  <si>
    <t>054-3456789</t>
  </si>
  <si>
    <t>053-9876543</t>
  </si>
  <si>
    <t>058-8765432</t>
  </si>
  <si>
    <t>050-9876543</t>
  </si>
  <si>
    <t>058-1234567</t>
  </si>
  <si>
    <t>058-7654321</t>
  </si>
  <si>
    <t>058-6543210</t>
  </si>
  <si>
    <t>055-1234567</t>
  </si>
  <si>
    <t>052-2345678</t>
  </si>
  <si>
    <t>052-6543210</t>
  </si>
  <si>
    <t>050-7654321</t>
  </si>
  <si>
    <t>058-2345678</t>
  </si>
  <si>
    <t>050-3456789</t>
  </si>
  <si>
    <t>3-4455667-6</t>
  </si>
  <si>
    <t>3-2233445-8</t>
  </si>
  <si>
    <t>2-3344556-2</t>
  </si>
  <si>
    <t>2-5566778-1</t>
  </si>
  <si>
    <t>3-9988776-1</t>
  </si>
  <si>
    <t>ocohen@example.com</t>
  </si>
  <si>
    <t>dlevi@example.com</t>
  </si>
  <si>
    <t>yshapira@example.com</t>
  </si>
  <si>
    <t>mbendavid@example.com</t>
  </si>
  <si>
    <t>nrosen@example.com</t>
  </si>
  <si>
    <t>ymizrahi@example.com</t>
  </si>
  <si>
    <t>igrin@example.com</t>
  </si>
  <si>
    <t>rfriedman@example.com</t>
  </si>
  <si>
    <t>ibarak@example.com</t>
  </si>
  <si>
    <t>ygoldstein@example.com</t>
  </si>
  <si>
    <t>trobin@example.com</t>
  </si>
  <si>
    <t>eraz@example.com</t>
  </si>
  <si>
    <t>mshamesh@example.com</t>
  </si>
  <si>
    <t>lshade@example.com</t>
  </si>
  <si>
    <t>ylavi@example.com</t>
  </si>
  <si>
    <t>sberger@example.com</t>
  </si>
  <si>
    <t>trozenblum@example.com</t>
  </si>
  <si>
    <t>yhorowitz@example.com</t>
  </si>
  <si>
    <t>rnitzan@example.com</t>
  </si>
  <si>
    <t>rkaplan@example.com</t>
  </si>
  <si>
    <t>gsharon@example.com</t>
  </si>
  <si>
    <t>doz@example.com</t>
  </si>
  <si>
    <t>raloni@example.com</t>
  </si>
  <si>
    <t>ahaggai@example.com</t>
  </si>
  <si>
    <t>nzeltser@example.com</t>
  </si>
  <si>
    <t>gshamer@example.com</t>
  </si>
  <si>
    <t>ylerner@example.com</t>
  </si>
  <si>
    <t>okantor@example.com</t>
  </si>
  <si>
    <t>savidan@example.com</t>
  </si>
  <si>
    <t>ibrosh@example.com</t>
  </si>
  <si>
    <t>yshade@example.com</t>
  </si>
  <si>
    <t>rperetz@example.com</t>
  </si>
  <si>
    <t>ydrori@example.com</t>
  </si>
  <si>
    <t>trappaport@example.com</t>
  </si>
  <si>
    <t>ofeldman@example.com</t>
  </si>
  <si>
    <t>gblum@example.com</t>
  </si>
  <si>
    <t>jbenari@example.com</t>
  </si>
  <si>
    <t>sperel@example.com</t>
  </si>
  <si>
    <t>yharari@example.com</t>
  </si>
  <si>
    <t>acohen@example.com</t>
  </si>
  <si>
    <t>lsagi@example.com</t>
  </si>
  <si>
    <t>dkramer@example.com</t>
  </si>
  <si>
    <t>nmagen@example.com</t>
  </si>
  <si>
    <t>oalon@example.com</t>
  </si>
  <si>
    <t>olivni@example.com</t>
  </si>
  <si>
    <t>elerner@example.com</t>
  </si>
  <si>
    <t>nbrunner@example.com</t>
  </si>
  <si>
    <t>niloan@example.com</t>
  </si>
  <si>
    <t>ashamir@example.com</t>
  </si>
  <si>
    <t>ygal@example.com</t>
  </si>
  <si>
    <t>tdayan@example.com</t>
  </si>
  <si>
    <t>rhason@example.com</t>
  </si>
  <si>
    <t>dkranmer@example.com</t>
  </si>
  <si>
    <t>izilberman@example.com</t>
  </si>
  <si>
    <t>nfreedlander@example.com</t>
  </si>
  <si>
    <t>dnashon@example.com</t>
  </si>
  <si>
    <t>rshaham@example.com</t>
  </si>
  <si>
    <t>yavitay@example.com</t>
  </si>
  <si>
    <t>agabay@example.com</t>
  </si>
  <si>
    <t>ooren@example.com</t>
  </si>
  <si>
    <t>ydekel@example.com</t>
  </si>
  <si>
    <t>ebenhaim@example.com</t>
  </si>
  <si>
    <t>npeleg@example.com</t>
  </si>
  <si>
    <t>dharel@example.com</t>
  </si>
  <si>
    <t>nrimon@example.com</t>
  </si>
  <si>
    <t>nmor@example.com</t>
  </si>
  <si>
    <t>tperetz@example.com</t>
  </si>
  <si>
    <t>ykatz@example.com</t>
  </si>
  <si>
    <t>rbarak@example.com</t>
  </si>
  <si>
    <t xml:space="preserve"> תל אביב</t>
  </si>
  <si>
    <t xml:space="preserve"> חיפה</t>
  </si>
  <si>
    <t xml:space="preserve"> ירושלים</t>
  </si>
  <si>
    <t xml:space="preserve"> רמת גן</t>
  </si>
  <si>
    <t xml:space="preserve"> כפר סבא</t>
  </si>
  <si>
    <t xml:space="preserve"> באר שבע</t>
  </si>
  <si>
    <t xml:space="preserve"> ראשון לציון</t>
  </si>
  <si>
    <t xml:space="preserve"> פתח תקווה</t>
  </si>
  <si>
    <t xml:space="preserve"> נתניה</t>
  </si>
  <si>
    <t xml:space="preserve"> חולון</t>
  </si>
  <si>
    <t xml:space="preserve"> גבעתיים</t>
  </si>
  <si>
    <t xml:space="preserve"> רעננה</t>
  </si>
  <si>
    <t xml:space="preserve"> הרצליה</t>
  </si>
  <si>
    <t xml:space="preserve"> אילת</t>
  </si>
  <si>
    <t xml:space="preserve"> אשדוד</t>
  </si>
  <si>
    <t xml:space="preserve"> בת ים</t>
  </si>
  <si>
    <t xml:space="preserve"> חדרה</t>
  </si>
  <si>
    <t xml:space="preserve"> רמת השרון</t>
  </si>
  <si>
    <t xml:space="preserve"> כפר יונה</t>
  </si>
  <si>
    <t xml:space="preserve"> רחובות</t>
  </si>
  <si>
    <t xml:space="preserve"> גבעת שמואל</t>
  </si>
  <si>
    <t xml:space="preserve"> נהריה</t>
  </si>
  <si>
    <t xml:space="preserve"> אשקלון</t>
  </si>
  <si>
    <t xml:space="preserve"> נתיבות</t>
  </si>
  <si>
    <t xml:space="preserve"> מבשרת ציון</t>
  </si>
  <si>
    <t xml:space="preserve"> מודיעין</t>
  </si>
  <si>
    <t xml:space="preserve"> קריית גת</t>
  </si>
  <si>
    <t xml:space="preserve"> טבריה</t>
  </si>
  <si>
    <t>הנשיא</t>
  </si>
  <si>
    <t>הגפן</t>
  </si>
  <si>
    <t>אלנבי</t>
  </si>
  <si>
    <t>אבן גבירול</t>
  </si>
  <si>
    <t>ביאליק</t>
  </si>
  <si>
    <t>יפו</t>
  </si>
  <si>
    <t>ארלוזורוב</t>
  </si>
  <si>
    <t>העצמאות</t>
  </si>
  <si>
    <t>ברנר</t>
  </si>
  <si>
    <t>פינסקר</t>
  </si>
  <si>
    <t>הכרמל</t>
  </si>
  <si>
    <t>סוקולוב</t>
  </si>
  <si>
    <t>הגליל</t>
  </si>
  <si>
    <t>הנביאים</t>
  </si>
  <si>
    <t>יהודה המכבי</t>
  </si>
  <si>
    <t>החשמונאים</t>
  </si>
  <si>
    <t>הנשיא ויצמן</t>
  </si>
  <si>
    <t>המגינים</t>
  </si>
  <si>
    <t>המייסדים</t>
  </si>
  <si>
    <t>ז'בוטינסקי</t>
  </si>
  <si>
    <t>שדרות הגעתון</t>
  </si>
  <si>
    <t>העלייה</t>
  </si>
  <si>
    <t>הרצל</t>
  </si>
  <si>
    <t>בן דוד מאיה</t>
  </si>
  <si>
    <t>--</t>
  </si>
  <si>
    <t>שפירא יונתן</t>
  </si>
  <si>
    <t>דוגמה</t>
  </si>
  <si>
    <t>בלום גיל</t>
  </si>
  <si>
    <t>אחלה</t>
  </si>
  <si>
    <t>בן ארי יעל</t>
  </si>
  <si>
    <t>לא משהו</t>
  </si>
  <si>
    <t>עסוק</t>
  </si>
  <si>
    <t>הראל דניאל</t>
  </si>
  <si>
    <t>לא נורא</t>
  </si>
  <si>
    <t>נחשון דנה</t>
  </si>
  <si>
    <t>אלון עומר</t>
  </si>
  <si>
    <t xml:space="preserve">דוגמה דוגמה דוגמה </t>
  </si>
  <si>
    <t>כהן עדי</t>
  </si>
  <si>
    <t>הררי יוני</t>
  </si>
  <si>
    <t>ברגר סיוון</t>
  </si>
  <si>
    <t xml:space="preserve">דוגמה דוגמה </t>
  </si>
  <si>
    <t>אלוני רועי</t>
  </si>
  <si>
    <t>רפפורט תומר</t>
  </si>
  <si>
    <t>זילברמן איתי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</si>
</sst>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-1000000]00000000\-0"/>
    <numFmt numFmtId="165" formatCode="000\-0000000"/>
    <numFmt numFmtId="166" formatCode="[$-101040D]\ mmmm\ yy\';@"/>
    <numFmt numFmtId="167" formatCode="[$-1000000]0\-0000000\-0"/>
    <numFmt numFmtId="168" formatCode="m/d/yyyy"/>
    <numFmt numFmtId="169" formatCode="mmm\ yy\'"/>
    <numFmt numFmtId="170" formatCode="0.000"/>
    <numFmt numFmtId="171" formatCode="[$-1010000]dd/mm/yyyy;@"/>
  </numFmts>
  <fonts count="54">
    <font>
      <sz val="11"/>
      <color theme="1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b/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8"/>
      <name val="Arial"/>
      <family val="2"/>
      <charset val="177"/>
      <scheme val="minor"/>
    </font>
    <font>
      <sz val="12"/>
      <color theme="1"/>
      <name val="Arial"/>
      <family val="2"/>
      <scheme val="minor"/>
    </font>
    <font>
      <b/>
      <u/>
      <sz val="11"/>
      <color theme="1"/>
      <name val="Arial"/>
      <family val="2"/>
      <scheme val="minor"/>
    </font>
    <font>
      <strike/>
      <sz val="11"/>
      <color theme="1"/>
      <name val="Arial"/>
      <family val="2"/>
      <scheme val="minor"/>
    </font>
    <font>
      <sz val="11"/>
      <name val="Arial"/>
      <family val="2"/>
      <charset val="177"/>
      <scheme val="minor"/>
    </font>
    <font>
      <sz val="11"/>
      <color theme="7"/>
      <name val="Arial"/>
      <family val="2"/>
      <charset val="177"/>
      <scheme val="minor"/>
    </font>
    <font>
      <sz val="11"/>
      <color rgb="FFFFC000"/>
      <name val="Arial"/>
      <family val="2"/>
      <charset val="177"/>
      <scheme val="minor"/>
    </font>
    <font>
      <sz val="11"/>
      <color theme="0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b/>
      <sz val="50"/>
      <color theme="1"/>
      <name val="Arial"/>
      <family val="2"/>
      <scheme val="minor"/>
    </font>
    <font>
      <sz val="25"/>
      <color theme="1"/>
      <name val="Guttman Hatzvi"/>
      <charset val="177"/>
    </font>
    <font>
      <b/>
      <u/>
      <sz val="25"/>
      <color theme="5" tint="-0.499984740745262"/>
      <name val="Guttman Hatzvi"/>
      <charset val="177"/>
    </font>
    <font>
      <b/>
      <u/>
      <sz val="25"/>
      <color theme="7" tint="-0.499984740745262"/>
      <name val="Guttman Hatzvi"/>
      <charset val="177"/>
    </font>
    <font>
      <sz val="18"/>
      <color theme="1"/>
      <name val="Arial"/>
      <family val="2"/>
      <charset val="177"/>
      <scheme val="minor"/>
    </font>
    <font>
      <b/>
      <u/>
      <sz val="25"/>
      <color theme="4" tint="-0.499984740745262"/>
      <name val="Guttman Hatzvi"/>
      <charset val="177"/>
    </font>
    <font>
      <sz val="18"/>
      <color theme="7" tint="-0.499984740745262"/>
      <name val="Arial"/>
      <family val="2"/>
      <charset val="177"/>
      <scheme val="minor"/>
    </font>
    <font>
      <u/>
      <sz val="11"/>
      <color theme="1"/>
      <name val="Arial"/>
      <family val="2"/>
      <charset val="177"/>
      <scheme val="minor"/>
    </font>
    <font>
      <strike/>
      <sz val="11"/>
      <color theme="1"/>
      <name val="Arial"/>
      <family val="2"/>
      <charset val="177"/>
      <scheme val="minor"/>
    </font>
    <font>
      <b/>
      <sz val="18"/>
      <color theme="1"/>
      <name val="Arial"/>
      <family val="2"/>
      <scheme val="minor"/>
    </font>
    <font>
      <b/>
      <u/>
      <sz val="12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b/>
      <sz val="11"/>
      <color theme="0"/>
      <name val="Arial"/>
      <family val="2"/>
      <scheme val="minor"/>
    </font>
    <font>
      <sz val="10"/>
      <color theme="1"/>
      <name val="Arial"/>
      <family val="2"/>
      <scheme val="minor"/>
    </font>
    <font>
      <sz val="5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i/>
      <sz val="11"/>
      <color theme="1"/>
      <name val="Arial"/>
      <family val="2"/>
      <scheme val="minor"/>
    </font>
    <font>
      <i/>
      <sz val="8"/>
      <color theme="1"/>
      <name val="Arial"/>
      <family val="2"/>
      <scheme val="minor"/>
    </font>
    <font>
      <b/>
      <u/>
      <sz val="26"/>
      <color theme="1"/>
      <name val="Arial"/>
      <family val="2"/>
      <scheme val="minor"/>
    </font>
    <font>
      <sz val="8"/>
      <color theme="1"/>
      <name val="Arial"/>
      <family val="2"/>
      <charset val="177"/>
      <scheme val="minor"/>
    </font>
    <font>
      <u/>
      <sz val="9"/>
      <color rgb="FFC00000"/>
      <name val="Arial"/>
      <family val="2"/>
      <charset val="177"/>
      <scheme val="minor"/>
    </font>
    <font>
      <sz val="9"/>
      <color theme="0" tint="-0.499984740745262"/>
      <name val="Arial"/>
      <family val="2"/>
      <charset val="177"/>
      <scheme val="minor"/>
    </font>
    <font>
      <sz val="25"/>
      <color theme="3"/>
      <name val="Arial"/>
      <family val="2"/>
      <charset val="177"/>
      <scheme val="minor"/>
    </font>
    <font>
      <b/>
      <sz val="25"/>
      <color theme="3"/>
      <name val="Arial"/>
      <family val="2"/>
      <scheme val="minor"/>
    </font>
    <font>
      <sz val="11"/>
      <color rgb="FF000000"/>
      <name val="Arial"/>
      <family val="2"/>
    </font>
    <font>
      <b/>
      <sz val="16"/>
      <color rgb="FF000000"/>
      <name val="David"/>
      <family val="2"/>
    </font>
    <font>
      <b/>
      <sz val="14"/>
      <color rgb="FF000000"/>
      <name val="David"/>
      <family val="2"/>
    </font>
    <font>
      <sz val="14"/>
      <color rgb="FF000000"/>
      <name val="David"/>
      <family val="2"/>
    </font>
    <font>
      <b/>
      <sz val="48"/>
      <color rgb="FF000000"/>
      <name val="David"/>
      <family val="2"/>
    </font>
    <font>
      <b/>
      <sz val="11"/>
      <color rgb="FF000000"/>
      <name val="Arial"/>
      <family val="2"/>
    </font>
    <font>
      <sz val="11"/>
      <color theme="1"/>
      <name val="Arial"/>
      <family val="2"/>
      <charset val="177"/>
      <scheme val="minor"/>
    </font>
    <font>
      <b/>
      <sz val="9"/>
      <color theme="1"/>
      <name val="Arial"/>
      <family val="2"/>
      <scheme val="minor"/>
    </font>
    <font>
      <b/>
      <u/>
      <sz val="25"/>
      <color rgb="FFBB1111"/>
      <name val="Guttman Hatzvi"/>
      <charset val="177"/>
    </font>
    <font>
      <sz val="9"/>
      <color theme="1"/>
      <name val="Arial"/>
      <family val="2"/>
      <scheme val="minor"/>
    </font>
    <font>
      <b/>
      <sz val="14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theme="7"/>
      <name val="Arial"/>
      <family val="2"/>
      <scheme val="minor"/>
    </font>
    <font>
      <u/>
      <sz val="11"/>
      <color theme="10"/>
      <name val="Arial"/>
      <family val="2"/>
      <charset val="177"/>
      <scheme val="minor"/>
    </font>
    <font>
      <b/>
      <u/>
      <sz val="18"/>
      <color rgb="FF000000"/>
      <name val="David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5A5A5"/>
        <bgColor rgb="FFA5A5A5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ADAD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rgb="FFFF0000"/>
      </right>
      <top style="hair">
        <color rgb="FFFF0000"/>
      </top>
      <bottom/>
      <diagonal/>
    </border>
    <border>
      <left/>
      <right style="hair">
        <color rgb="FFFF0000"/>
      </right>
      <top/>
      <bottom/>
      <diagonal/>
    </border>
    <border>
      <left/>
      <right/>
      <top style="hair">
        <color rgb="FFFF0000"/>
      </top>
      <bottom/>
      <diagonal/>
    </border>
    <border>
      <left/>
      <right/>
      <top/>
      <bottom style="hair">
        <color rgb="FFFF0000"/>
      </bottom>
      <diagonal/>
    </border>
    <border>
      <left style="thin">
        <color rgb="FFFF0000"/>
      </left>
      <right/>
      <top style="thin">
        <color rgb="FFFF0000"/>
      </top>
      <bottom style="hair">
        <color rgb="FFFF0000"/>
      </bottom>
      <diagonal/>
    </border>
    <border>
      <left/>
      <right style="hair">
        <color rgb="FFFF0000"/>
      </right>
      <top style="thin">
        <color rgb="FFFF0000"/>
      </top>
      <bottom style="hair">
        <color rgb="FFFF0000"/>
      </bottom>
      <diagonal/>
    </border>
    <border>
      <left style="thin">
        <color rgb="FFFF0000"/>
      </left>
      <right/>
      <top style="hair">
        <color rgb="FFFF0000"/>
      </top>
      <bottom/>
      <diagonal/>
    </border>
    <border>
      <left/>
      <right style="thin">
        <color rgb="FFFF0000"/>
      </right>
      <top style="hair">
        <color rgb="FFFF0000"/>
      </top>
      <bottom/>
      <diagonal/>
    </border>
    <border>
      <left style="thin">
        <color rgb="FFFF0000"/>
      </left>
      <right/>
      <top/>
      <bottom style="hair">
        <color rgb="FFFF0000"/>
      </bottom>
      <diagonal/>
    </border>
    <border>
      <left/>
      <right style="thin">
        <color rgb="FFFF0000"/>
      </right>
      <top/>
      <bottom style="hair">
        <color rgb="FFFF0000"/>
      </bottom>
      <diagonal/>
    </border>
    <border>
      <left style="thin">
        <color rgb="FFFF0000"/>
      </left>
      <right/>
      <top style="hair">
        <color rgb="FFFF0000"/>
      </top>
      <bottom style="thin">
        <color rgb="FFFF0000"/>
      </bottom>
      <diagonal/>
    </border>
    <border>
      <left/>
      <right/>
      <top style="hair">
        <color rgb="FFFF0000"/>
      </top>
      <bottom style="thin">
        <color rgb="FFFF0000"/>
      </bottom>
      <diagonal/>
    </border>
    <border>
      <left/>
      <right style="thin">
        <color rgb="FFFF0000"/>
      </right>
      <top style="hair">
        <color rgb="FFFF0000"/>
      </top>
      <bottom style="thin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auto="1"/>
      </left>
      <right/>
      <top/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000000"/>
      </right>
      <top style="thick">
        <color indexed="64"/>
      </top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thick">
        <color indexed="64"/>
      </top>
      <bottom style="double">
        <color indexed="64"/>
      </bottom>
      <diagonal/>
    </border>
    <border>
      <left style="thin">
        <color rgb="FF000000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indexed="64"/>
      </right>
      <top style="thin">
        <color rgb="FF000000"/>
      </top>
      <bottom style="thin">
        <color rgb="FF000000"/>
      </bottom>
      <diagonal/>
    </border>
    <border>
      <left style="thick">
        <color indexed="64"/>
      </left>
      <right style="thin">
        <color rgb="FF000000"/>
      </right>
      <top style="thin">
        <color rgb="FF000000"/>
      </top>
      <bottom style="thick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rgb="FF000000"/>
      </right>
      <top style="thick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rgb="FF000000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ashed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000000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ck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4">
    <xf numFmtId="0" fontId="0" fillId="0" borderId="0"/>
    <xf numFmtId="0" fontId="39" fillId="0" borderId="0"/>
    <xf numFmtId="0" fontId="45" fillId="0" borderId="0"/>
    <xf numFmtId="0" fontId="52" fillId="0" borderId="0" applyNumberFormat="0" applyFill="0" applyBorder="0" applyAlignment="0" applyProtection="0"/>
  </cellStyleXfs>
  <cellXfs count="389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 vertical="center"/>
    </xf>
    <xf numFmtId="165" fontId="0" fillId="0" borderId="0" xfId="0" applyNumberFormat="1"/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164" fontId="7" fillId="0" borderId="8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6" fontId="0" fillId="0" borderId="20" xfId="0" applyNumberFormat="1" applyBorder="1" applyAlignment="1">
      <alignment horizontal="right" vertical="center"/>
    </xf>
    <xf numFmtId="0" fontId="0" fillId="0" borderId="20" xfId="0" applyBorder="1" applyAlignment="1">
      <alignment horizontal="right" vertical="center" readingOrder="2"/>
    </xf>
    <xf numFmtId="0" fontId="0" fillId="0" borderId="20" xfId="0" applyBorder="1" applyAlignment="1">
      <alignment horizontal="right" vertical="center"/>
    </xf>
    <xf numFmtId="0" fontId="2" fillId="0" borderId="19" xfId="0" applyFont="1" applyBorder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0" fillId="5" borderId="4" xfId="0" applyFill="1" applyBorder="1"/>
    <xf numFmtId="0" fontId="9" fillId="0" borderId="0" xfId="0" applyFont="1" applyAlignment="1">
      <alignment horizontal="center" vertical="center"/>
    </xf>
    <xf numFmtId="0" fontId="0" fillId="0" borderId="0" xfId="0" quotePrefix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5" fillId="2" borderId="0" xfId="0" applyFont="1" applyFill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14" fillId="0" borderId="21" xfId="0" applyNumberFormat="1" applyFont="1" applyBorder="1"/>
    <xf numFmtId="14" fontId="14" fillId="0" borderId="22" xfId="0" applyNumberFormat="1" applyFont="1" applyBorder="1"/>
    <xf numFmtId="17" fontId="0" fillId="0" borderId="0" xfId="0" applyNumberFormat="1"/>
    <xf numFmtId="0" fontId="0" fillId="0" borderId="0" xfId="0" applyAlignment="1">
      <alignment horizontal="right" vertical="top" wrapText="1"/>
    </xf>
    <xf numFmtId="0" fontId="11" fillId="0" borderId="0" xfId="0" applyFont="1" applyAlignment="1">
      <alignment horizontal="right" vertical="top" wrapText="1"/>
    </xf>
    <xf numFmtId="0" fontId="12" fillId="0" borderId="0" xfId="0" applyFont="1" applyAlignment="1">
      <alignment horizontal="right" vertical="top" wrapText="1"/>
    </xf>
    <xf numFmtId="0" fontId="13" fillId="0" borderId="0" xfId="0" applyFont="1" applyAlignment="1">
      <alignment horizontal="right" vertical="top" wrapText="1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/>
    <xf numFmtId="0" fontId="5" fillId="0" borderId="0" xfId="0" applyFont="1"/>
    <xf numFmtId="0" fontId="5" fillId="0" borderId="0" xfId="0" quotePrefix="1" applyFont="1"/>
    <xf numFmtId="0" fontId="0" fillId="7" borderId="0" xfId="0" applyFill="1"/>
    <xf numFmtId="0" fontId="16" fillId="7" borderId="0" xfId="0" applyFont="1" applyFill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top"/>
    </xf>
    <xf numFmtId="0" fontId="0" fillId="2" borderId="19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/>
    </xf>
    <xf numFmtId="0" fontId="8" fillId="9" borderId="0" xfId="0" applyFont="1" applyFill="1" applyAlignment="1">
      <alignment vertical="top"/>
    </xf>
    <xf numFmtId="0" fontId="8" fillId="9" borderId="0" xfId="0" applyFont="1" applyFill="1" applyAlignment="1">
      <alignment vertical="top" wrapText="1"/>
    </xf>
    <xf numFmtId="0" fontId="5" fillId="0" borderId="9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right" vertical="center"/>
    </xf>
    <xf numFmtId="0" fontId="3" fillId="4" borderId="7" xfId="0" applyFon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0" xfId="0" applyAlignment="1">
      <alignment readingOrder="2"/>
    </xf>
    <xf numFmtId="0" fontId="14" fillId="0" borderId="24" xfId="0" applyFont="1" applyBorder="1"/>
    <xf numFmtId="0" fontId="14" fillId="0" borderId="25" xfId="0" applyFont="1" applyBorder="1"/>
    <xf numFmtId="0" fontId="14" fillId="0" borderId="26" xfId="0" applyFont="1" applyBorder="1"/>
    <xf numFmtId="14" fontId="14" fillId="0" borderId="27" xfId="0" applyNumberFormat="1" applyFont="1" applyBorder="1"/>
    <xf numFmtId="14" fontId="2" fillId="2" borderId="0" xfId="0" applyNumberFormat="1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right" vertical="center"/>
    </xf>
    <xf numFmtId="14" fontId="25" fillId="2" borderId="0" xfId="0" applyNumberFormat="1" applyFont="1" applyFill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 vertical="center" wrapText="1"/>
    </xf>
    <xf numFmtId="14" fontId="5" fillId="2" borderId="0" xfId="0" applyNumberFormat="1" applyFont="1" applyFill="1" applyAlignment="1">
      <alignment horizontal="center" vertical="center"/>
    </xf>
    <xf numFmtId="0" fontId="26" fillId="0" borderId="0" xfId="0" applyFont="1"/>
    <xf numFmtId="0" fontId="7" fillId="0" borderId="0" xfId="0" applyFont="1" applyAlignment="1">
      <alignment horizontal="center" vertical="center" wrapText="1"/>
    </xf>
    <xf numFmtId="0" fontId="0" fillId="0" borderId="9" xfId="0" applyBorder="1"/>
    <xf numFmtId="0" fontId="0" fillId="0" borderId="8" xfId="0" applyBorder="1"/>
    <xf numFmtId="14" fontId="0" fillId="0" borderId="0" xfId="0" applyNumberFormat="1" applyAlignment="1">
      <alignment horizontal="right"/>
    </xf>
    <xf numFmtId="14" fontId="5" fillId="0" borderId="0" xfId="0" applyNumberFormat="1" applyFont="1" applyAlignment="1">
      <alignment horizontal="right" vertical="center"/>
    </xf>
    <xf numFmtId="14" fontId="2" fillId="2" borderId="0" xfId="0" applyNumberFormat="1" applyFont="1" applyFill="1" applyAlignment="1">
      <alignment horizontal="right" vertical="center"/>
    </xf>
    <xf numFmtId="14" fontId="25" fillId="2" borderId="0" xfId="0" applyNumberFormat="1" applyFont="1" applyFill="1" applyAlignment="1">
      <alignment horizontal="right" vertical="center"/>
    </xf>
    <xf numFmtId="0" fontId="0" fillId="0" borderId="44" xfId="0" applyBorder="1"/>
    <xf numFmtId="0" fontId="0" fillId="0" borderId="45" xfId="0" applyBorder="1"/>
    <xf numFmtId="0" fontId="0" fillId="2" borderId="42" xfId="0" applyFill="1" applyBorder="1"/>
    <xf numFmtId="0" fontId="0" fillId="2" borderId="43" xfId="0" applyFill="1" applyBorder="1"/>
    <xf numFmtId="0" fontId="14" fillId="2" borderId="41" xfId="0" applyFont="1" applyFill="1" applyBorder="1"/>
    <xf numFmtId="0" fontId="22" fillId="0" borderId="44" xfId="0" applyFont="1" applyBorder="1" applyAlignment="1">
      <alignment wrapText="1"/>
    </xf>
    <xf numFmtId="0" fontId="0" fillId="0" borderId="44" xfId="0" applyBorder="1" applyAlignment="1">
      <alignment horizontal="right" readingOrder="1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14" fillId="9" borderId="11" xfId="0" applyFont="1" applyFill="1" applyBorder="1"/>
    <xf numFmtId="0" fontId="29" fillId="0" borderId="0" xfId="0" applyFont="1" applyAlignment="1">
      <alignment wrapText="1"/>
    </xf>
    <xf numFmtId="17" fontId="0" fillId="0" borderId="0" xfId="0" quotePrefix="1" applyNumberFormat="1"/>
    <xf numFmtId="16" fontId="0" fillId="0" borderId="0" xfId="0" quotePrefix="1" applyNumberFormat="1"/>
    <xf numFmtId="14" fontId="14" fillId="0" borderId="47" xfId="0" applyNumberFormat="1" applyFont="1" applyBorder="1"/>
    <xf numFmtId="0" fontId="14" fillId="0" borderId="48" xfId="0" applyFont="1" applyBorder="1"/>
    <xf numFmtId="0" fontId="14" fillId="9" borderId="50" xfId="0" applyFont="1" applyFill="1" applyBorder="1" applyAlignment="1">
      <alignment horizontal="center" vertical="center" wrapText="1"/>
    </xf>
    <xf numFmtId="0" fontId="14" fillId="9" borderId="49" xfId="0" applyFont="1" applyFill="1" applyBorder="1" applyAlignment="1">
      <alignment horizontal="center" vertical="center" wrapText="1"/>
    </xf>
    <xf numFmtId="0" fontId="0" fillId="9" borderId="0" xfId="0" applyFill="1"/>
    <xf numFmtId="0" fontId="14" fillId="9" borderId="0" xfId="0" applyFont="1" applyFill="1" applyAlignment="1">
      <alignment horizontal="right" vertical="center"/>
    </xf>
    <xf numFmtId="0" fontId="14" fillId="11" borderId="0" xfId="0" applyFont="1" applyFill="1"/>
    <xf numFmtId="0" fontId="0" fillId="11" borderId="0" xfId="0" applyFill="1"/>
    <xf numFmtId="168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0" applyNumberFormat="1"/>
    <xf numFmtId="169" fontId="2" fillId="9" borderId="0" xfId="0" applyNumberFormat="1" applyFont="1" applyFill="1" applyAlignment="1">
      <alignment horizontal="center" vertical="top"/>
    </xf>
    <xf numFmtId="169" fontId="8" fillId="9" borderId="0" xfId="0" applyNumberFormat="1" applyFont="1" applyFill="1" applyAlignment="1">
      <alignment vertical="top"/>
    </xf>
    <xf numFmtId="169" fontId="5" fillId="0" borderId="0" xfId="0" applyNumberFormat="1" applyFont="1"/>
    <xf numFmtId="0" fontId="31" fillId="0" borderId="0" xfId="0" applyFont="1"/>
    <xf numFmtId="0" fontId="13" fillId="0" borderId="0" xfId="0" applyFont="1"/>
    <xf numFmtId="171" fontId="0" fillId="0" borderId="0" xfId="0" applyNumberFormat="1"/>
    <xf numFmtId="169" fontId="0" fillId="9" borderId="0" xfId="0" applyNumberFormat="1" applyFill="1"/>
    <xf numFmtId="169" fontId="14" fillId="9" borderId="4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1" fontId="30" fillId="0" borderId="0" xfId="0" applyNumberFormat="1" applyFont="1"/>
    <xf numFmtId="1" fontId="0" fillId="9" borderId="0" xfId="0" applyNumberFormat="1" applyFill="1"/>
    <xf numFmtId="1" fontId="14" fillId="9" borderId="50" xfId="0" applyNumberFormat="1" applyFont="1" applyFill="1" applyBorder="1" applyAlignment="1">
      <alignment horizontal="center" vertical="center" wrapText="1"/>
    </xf>
    <xf numFmtId="170" fontId="0" fillId="0" borderId="2" xfId="0" applyNumberFormat="1" applyBorder="1"/>
    <xf numFmtId="0" fontId="20" fillId="6" borderId="0" xfId="0" applyFont="1" applyFill="1" applyAlignment="1">
      <alignment horizontal="center" vertical="center"/>
    </xf>
    <xf numFmtId="0" fontId="21" fillId="8" borderId="5" xfId="0" applyFont="1" applyFill="1" applyBorder="1" applyAlignment="1">
      <alignment horizontal="left" vertical="center"/>
    </xf>
    <xf numFmtId="0" fontId="0" fillId="6" borderId="0" xfId="0" applyFill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8" fillId="11" borderId="0" xfId="0" applyFont="1" applyFill="1"/>
    <xf numFmtId="0" fontId="26" fillId="0" borderId="0" xfId="0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14" fontId="27" fillId="10" borderId="0" xfId="0" applyNumberFormat="1" applyFont="1" applyFill="1" applyAlignment="1">
      <alignment horizontal="center" vertical="center"/>
    </xf>
    <xf numFmtId="0" fontId="27" fillId="10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 readingOrder="2"/>
    </xf>
    <xf numFmtId="1" fontId="7" fillId="0" borderId="0" xfId="0" applyNumberFormat="1" applyFont="1" applyAlignment="1">
      <alignment horizontal="right" vertical="center" readingOrder="2"/>
    </xf>
    <xf numFmtId="0" fontId="7" fillId="0" borderId="52" xfId="0" applyFont="1" applyBorder="1" applyAlignment="1">
      <alignment horizontal="right" vertical="center"/>
    </xf>
    <xf numFmtId="0" fontId="25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51" xfId="0" applyFont="1" applyBorder="1" applyAlignment="1">
      <alignment horizontal="right" vertical="center"/>
    </xf>
    <xf numFmtId="0" fontId="29" fillId="0" borderId="0" xfId="0" applyFont="1" applyAlignment="1">
      <alignment wrapText="1" readingOrder="2"/>
    </xf>
    <xf numFmtId="14" fontId="0" fillId="0" borderId="0" xfId="0" applyNumberFormat="1" applyAlignment="1">
      <alignment horizontal="center" vertical="center" wrapText="1"/>
    </xf>
    <xf numFmtId="0" fontId="30" fillId="0" borderId="0" xfId="0" applyFont="1" applyAlignment="1">
      <alignment horizontal="left"/>
    </xf>
    <xf numFmtId="0" fontId="34" fillId="0" borderId="10" xfId="0" applyFont="1" applyBorder="1" applyAlignment="1">
      <alignment horizontal="right" vertical="top"/>
    </xf>
    <xf numFmtId="1" fontId="0" fillId="0" borderId="9" xfId="0" applyNumberFormat="1" applyBorder="1" applyAlignment="1">
      <alignment horizontal="center" vertical="center" readingOrder="2"/>
    </xf>
    <xf numFmtId="1" fontId="0" fillId="0" borderId="9" xfId="0" applyNumberFormat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2" fillId="0" borderId="46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5" xfId="0" applyBorder="1" applyAlignment="1">
      <alignment horizontal="center" vertical="center" readingOrder="2"/>
    </xf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 readingOrder="2"/>
    </xf>
    <xf numFmtId="0" fontId="0" fillId="0" borderId="16" xfId="0" applyBorder="1" applyAlignment="1">
      <alignment horizontal="center" vertical="center" readingOrder="2"/>
    </xf>
    <xf numFmtId="0" fontId="0" fillId="0" borderId="3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7" xfId="0" applyBorder="1" applyAlignment="1">
      <alignment horizontal="center" vertical="center" readingOrder="2"/>
    </xf>
    <xf numFmtId="0" fontId="0" fillId="0" borderId="38" xfId="0" applyBorder="1" applyAlignment="1">
      <alignment horizontal="center" vertical="center" readingOrder="2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35" fillId="0" borderId="0" xfId="0" applyFont="1"/>
    <xf numFmtId="0" fontId="0" fillId="7" borderId="57" xfId="0" applyFill="1" applyBorder="1"/>
    <xf numFmtId="0" fontId="0" fillId="2" borderId="55" xfId="0" applyFill="1" applyBorder="1"/>
    <xf numFmtId="0" fontId="0" fillId="2" borderId="56" xfId="0" applyFill="1" applyBorder="1" applyAlignment="1">
      <alignment readingOrder="2"/>
    </xf>
    <xf numFmtId="0" fontId="14" fillId="2" borderId="7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right" vertical="center"/>
    </xf>
    <xf numFmtId="0" fontId="36" fillId="12" borderId="5" xfId="0" applyFont="1" applyFill="1" applyBorder="1" applyAlignment="1">
      <alignment horizontal="center" vertical="center"/>
    </xf>
    <xf numFmtId="0" fontId="36" fillId="12" borderId="7" xfId="0" applyFont="1" applyFill="1" applyBorder="1" applyAlignment="1">
      <alignment horizontal="center" vertical="center"/>
    </xf>
    <xf numFmtId="0" fontId="36" fillId="12" borderId="8" xfId="0" applyFont="1" applyFill="1" applyBorder="1" applyAlignment="1">
      <alignment horizontal="center" vertical="center"/>
    </xf>
    <xf numFmtId="0" fontId="36" fillId="12" borderId="9" xfId="0" applyFont="1" applyFill="1" applyBorder="1" applyAlignment="1">
      <alignment horizontal="center" vertical="center"/>
    </xf>
    <xf numFmtId="0" fontId="36" fillId="12" borderId="10" xfId="0" applyFont="1" applyFill="1" applyBorder="1" applyAlignment="1">
      <alignment horizontal="center" vertical="center"/>
    </xf>
    <xf numFmtId="0" fontId="36" fillId="12" borderId="12" xfId="0" applyFont="1" applyFill="1" applyBorder="1" applyAlignment="1">
      <alignment horizontal="center" vertical="center"/>
    </xf>
    <xf numFmtId="0" fontId="19" fillId="3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>
      <alignment horizontal="center" vertical="center" wrapText="1"/>
    </xf>
    <xf numFmtId="0" fontId="38" fillId="0" borderId="0" xfId="0" applyFont="1" applyAlignment="1">
      <alignment horizontal="left" vertical="center"/>
    </xf>
    <xf numFmtId="14" fontId="12" fillId="0" borderId="0" xfId="0" applyNumberFormat="1" applyFont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58" xfId="0" applyBorder="1"/>
    <xf numFmtId="0" fontId="0" fillId="0" borderId="59" xfId="0" applyBorder="1"/>
    <xf numFmtId="169" fontId="0" fillId="0" borderId="59" xfId="0" applyNumberFormat="1" applyBorder="1"/>
    <xf numFmtId="0" fontId="0" fillId="0" borderId="60" xfId="0" applyBorder="1"/>
    <xf numFmtId="0" fontId="0" fillId="0" borderId="0" xfId="0" quotePrefix="1" applyAlignment="1">
      <alignment horizontal="right" readingOrder="2"/>
    </xf>
    <xf numFmtId="0" fontId="0" fillId="0" borderId="0" xfId="0" applyAlignment="1">
      <alignment horizontal="right" readingOrder="2"/>
    </xf>
    <xf numFmtId="0" fontId="30" fillId="0" borderId="0" xfId="0" applyFont="1" applyAlignment="1">
      <alignment horizontal="right" readingOrder="2"/>
    </xf>
    <xf numFmtId="0" fontId="7" fillId="9" borderId="0" xfId="0" applyFont="1" applyFill="1" applyAlignment="1">
      <alignment horizontal="right" readingOrder="2"/>
    </xf>
    <xf numFmtId="0" fontId="8" fillId="9" borderId="0" xfId="0" applyFont="1" applyFill="1" applyAlignment="1">
      <alignment horizontal="right" vertical="top" readingOrder="2"/>
    </xf>
    <xf numFmtId="0" fontId="5" fillId="0" borderId="0" xfId="0" applyFont="1" applyAlignment="1">
      <alignment horizontal="right" readingOrder="2"/>
    </xf>
    <xf numFmtId="0" fontId="28" fillId="0" borderId="0" xfId="0" applyFont="1" applyAlignment="1">
      <alignment horizontal="center" vertical="center" readingOrder="2"/>
    </xf>
    <xf numFmtId="0" fontId="7" fillId="0" borderId="52" xfId="0" applyFont="1" applyBorder="1" applyAlignment="1">
      <alignment horizontal="right" vertical="center" readingOrder="2"/>
    </xf>
    <xf numFmtId="0" fontId="25" fillId="0" borderId="0" xfId="0" applyFont="1" applyAlignment="1">
      <alignment horizontal="right" vertical="center" readingOrder="2"/>
    </xf>
    <xf numFmtId="0" fontId="7" fillId="0" borderId="51" xfId="0" applyFont="1" applyBorder="1" applyAlignment="1">
      <alignment horizontal="right" vertical="center" readingOrder="2"/>
    </xf>
    <xf numFmtId="0" fontId="7" fillId="0" borderId="0" xfId="0" applyFont="1" applyAlignment="1">
      <alignment horizontal="center" vertical="center" readingOrder="2"/>
    </xf>
    <xf numFmtId="0" fontId="27" fillId="10" borderId="0" xfId="0" applyFont="1" applyFill="1" applyAlignment="1">
      <alignment horizontal="center" vertical="center" readingOrder="2"/>
    </xf>
    <xf numFmtId="0" fontId="14" fillId="9" borderId="0" xfId="0" applyFont="1" applyFill="1" applyAlignment="1">
      <alignment horizontal="center" vertical="center" wrapText="1"/>
    </xf>
    <xf numFmtId="0" fontId="24" fillId="4" borderId="0" xfId="0" applyFont="1" applyFill="1" applyAlignment="1">
      <alignment horizontal="center"/>
    </xf>
    <xf numFmtId="0" fontId="14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14" fillId="13" borderId="0" xfId="0" applyFont="1" applyFill="1" applyAlignment="1">
      <alignment horizontal="right" vertical="center"/>
    </xf>
    <xf numFmtId="0" fontId="39" fillId="0" borderId="0" xfId="1" applyAlignment="1">
      <alignment horizontal="center" vertical="center"/>
    </xf>
    <xf numFmtId="0" fontId="40" fillId="14" borderId="61" xfId="1" applyFont="1" applyFill="1" applyBorder="1" applyAlignment="1">
      <alignment horizontal="center" vertical="center"/>
    </xf>
    <xf numFmtId="0" fontId="40" fillId="14" borderId="62" xfId="1" applyFont="1" applyFill="1" applyBorder="1" applyAlignment="1">
      <alignment horizontal="center" vertical="center"/>
    </xf>
    <xf numFmtId="0" fontId="40" fillId="14" borderId="63" xfId="1" applyFont="1" applyFill="1" applyBorder="1" applyAlignment="1">
      <alignment horizontal="center" vertical="center"/>
    </xf>
    <xf numFmtId="0" fontId="41" fillId="0" borderId="65" xfId="1" applyFont="1" applyBorder="1" applyAlignment="1">
      <alignment horizontal="center" vertical="center"/>
    </xf>
    <xf numFmtId="0" fontId="41" fillId="0" borderId="66" xfId="1" applyFont="1" applyBorder="1" applyAlignment="1">
      <alignment horizontal="center" vertical="center"/>
    </xf>
    <xf numFmtId="0" fontId="42" fillId="0" borderId="64" xfId="1" applyFont="1" applyBorder="1" applyAlignment="1">
      <alignment horizontal="center" vertical="center"/>
    </xf>
    <xf numFmtId="0" fontId="42" fillId="0" borderId="65" xfId="1" applyFont="1" applyBorder="1" applyAlignment="1">
      <alignment horizontal="center" vertical="center"/>
    </xf>
    <xf numFmtId="0" fontId="42" fillId="0" borderId="67" xfId="1" applyFont="1" applyBorder="1" applyAlignment="1">
      <alignment horizontal="center" vertical="center"/>
    </xf>
    <xf numFmtId="0" fontId="42" fillId="0" borderId="20" xfId="1" applyFont="1" applyBorder="1" applyAlignment="1">
      <alignment horizontal="center" vertical="center"/>
    </xf>
    <xf numFmtId="0" fontId="42" fillId="0" borderId="4" xfId="1" applyFont="1" applyBorder="1" applyAlignment="1">
      <alignment horizontal="center" vertical="center"/>
    </xf>
    <xf numFmtId="0" fontId="41" fillId="0" borderId="69" xfId="1" applyFont="1" applyBorder="1" applyAlignment="1">
      <alignment horizontal="center" vertical="center"/>
    </xf>
    <xf numFmtId="0" fontId="41" fillId="0" borderId="70" xfId="1" applyFont="1" applyBorder="1" applyAlignment="1">
      <alignment horizontal="center" vertical="center"/>
    </xf>
    <xf numFmtId="0" fontId="42" fillId="0" borderId="71" xfId="1" applyFont="1" applyBorder="1" applyAlignment="1">
      <alignment horizontal="center" vertical="center"/>
    </xf>
    <xf numFmtId="0" fontId="42" fillId="0" borderId="72" xfId="1" applyFont="1" applyBorder="1" applyAlignment="1">
      <alignment horizontal="center" vertical="center"/>
    </xf>
    <xf numFmtId="0" fontId="42" fillId="0" borderId="73" xfId="1" applyFont="1" applyBorder="1" applyAlignment="1">
      <alignment horizontal="center" vertical="center"/>
    </xf>
    <xf numFmtId="0" fontId="42" fillId="0" borderId="74" xfId="1" applyFont="1" applyBorder="1" applyAlignment="1">
      <alignment horizontal="center" vertical="center"/>
    </xf>
    <xf numFmtId="0" fontId="42" fillId="0" borderId="75" xfId="1" applyFont="1" applyBorder="1" applyAlignment="1">
      <alignment horizontal="center" vertical="center"/>
    </xf>
    <xf numFmtId="0" fontId="41" fillId="0" borderId="76" xfId="1" applyFont="1" applyBorder="1" applyAlignment="1">
      <alignment horizontal="center" vertical="center"/>
    </xf>
    <xf numFmtId="0" fontId="41" fillId="0" borderId="77" xfId="1" applyFont="1" applyBorder="1" applyAlignment="1">
      <alignment horizontal="center" vertical="center"/>
    </xf>
    <xf numFmtId="0" fontId="42" fillId="0" borderId="78" xfId="1" applyFont="1" applyBorder="1" applyAlignment="1">
      <alignment horizontal="center" vertical="center"/>
    </xf>
    <xf numFmtId="0" fontId="42" fillId="15" borderId="68" xfId="1" applyFont="1" applyFill="1" applyBorder="1" applyAlignment="1">
      <alignment horizontal="center" vertical="center"/>
    </xf>
    <xf numFmtId="0" fontId="42" fillId="15" borderId="75" xfId="1" applyFont="1" applyFill="1" applyBorder="1" applyAlignment="1">
      <alignment horizontal="center" vertical="center"/>
    </xf>
    <xf numFmtId="0" fontId="39" fillId="0" borderId="0" xfId="1"/>
    <xf numFmtId="0" fontId="40" fillId="14" borderId="83" xfId="1" applyFont="1" applyFill="1" applyBorder="1" applyAlignment="1">
      <alignment horizontal="center" vertical="center"/>
    </xf>
    <xf numFmtId="0" fontId="42" fillId="5" borderId="85" xfId="1" applyFont="1" applyFill="1" applyBorder="1" applyAlignment="1">
      <alignment horizontal="center" vertical="center"/>
    </xf>
    <xf numFmtId="0" fontId="42" fillId="5" borderId="68" xfId="1" applyFont="1" applyFill="1" applyBorder="1" applyAlignment="1">
      <alignment horizontal="center" vertical="center"/>
    </xf>
    <xf numFmtId="0" fontId="42" fillId="5" borderId="84" xfId="1" applyFont="1" applyFill="1" applyBorder="1" applyAlignment="1">
      <alignment horizontal="center" vertical="center"/>
    </xf>
    <xf numFmtId="0" fontId="42" fillId="5" borderId="75" xfId="1" applyFont="1" applyFill="1" applyBorder="1" applyAlignment="1">
      <alignment horizontal="center" vertical="center"/>
    </xf>
    <xf numFmtId="0" fontId="42" fillId="5" borderId="64" xfId="1" applyFont="1" applyFill="1" applyBorder="1" applyAlignment="1">
      <alignment horizontal="center" vertical="center"/>
    </xf>
    <xf numFmtId="0" fontId="42" fillId="5" borderId="79" xfId="1" applyFont="1" applyFill="1" applyBorder="1" applyAlignment="1">
      <alignment horizontal="center" vertical="center"/>
    </xf>
    <xf numFmtId="0" fontId="42" fillId="5" borderId="80" xfId="1" applyFont="1" applyFill="1" applyBorder="1" applyAlignment="1">
      <alignment horizontal="center" vertical="center"/>
    </xf>
    <xf numFmtId="0" fontId="42" fillId="5" borderId="81" xfId="1" applyFont="1" applyFill="1" applyBorder="1" applyAlignment="1">
      <alignment horizontal="center" vertical="center"/>
    </xf>
    <xf numFmtId="0" fontId="42" fillId="5" borderId="86" xfId="1" applyFont="1" applyFill="1" applyBorder="1" applyAlignment="1">
      <alignment horizontal="center" vertical="center"/>
    </xf>
    <xf numFmtId="0" fontId="39" fillId="13" borderId="0" xfId="1" applyFill="1" applyAlignment="1">
      <alignment horizontal="center" vertical="center"/>
    </xf>
    <xf numFmtId="167" fontId="39" fillId="0" borderId="0" xfId="1" applyNumberFormat="1"/>
    <xf numFmtId="0" fontId="44" fillId="13" borderId="0" xfId="1" applyFont="1" applyFill="1"/>
    <xf numFmtId="0" fontId="39" fillId="13" borderId="0" xfId="1" applyFill="1"/>
    <xf numFmtId="167" fontId="39" fillId="13" borderId="0" xfId="1" applyNumberFormat="1" applyFill="1"/>
    <xf numFmtId="0" fontId="42" fillId="15" borderId="64" xfId="1" applyFont="1" applyFill="1" applyBorder="1" applyAlignment="1">
      <alignment horizontal="center" vertical="center"/>
    </xf>
    <xf numFmtId="0" fontId="42" fillId="15" borderId="84" xfId="1" applyFont="1" applyFill="1" applyBorder="1" applyAlignment="1">
      <alignment horizontal="center" vertical="center"/>
    </xf>
    <xf numFmtId="0" fontId="42" fillId="15" borderId="85" xfId="1" applyFont="1" applyFill="1" applyBorder="1" applyAlignment="1">
      <alignment horizontal="center" vertical="center"/>
    </xf>
    <xf numFmtId="0" fontId="42" fillId="15" borderId="82" xfId="1" applyFont="1" applyFill="1" applyBorder="1" applyAlignment="1">
      <alignment horizontal="center" vertical="center"/>
    </xf>
    <xf numFmtId="0" fontId="42" fillId="15" borderId="87" xfId="1" applyFont="1" applyFill="1" applyBorder="1" applyAlignment="1">
      <alignment horizontal="center" vertical="center"/>
    </xf>
    <xf numFmtId="0" fontId="0" fillId="16" borderId="0" xfId="0" applyFill="1"/>
    <xf numFmtId="14" fontId="0" fillId="17" borderId="0" xfId="0" applyNumberFormat="1" applyFill="1"/>
    <xf numFmtId="14" fontId="0" fillId="18" borderId="0" xfId="0" applyNumberFormat="1" applyFill="1"/>
    <xf numFmtId="0" fontId="0" fillId="16" borderId="4" xfId="0" applyFill="1" applyBorder="1"/>
    <xf numFmtId="14" fontId="0" fillId="17" borderId="4" xfId="0" applyNumberFormat="1" applyFill="1" applyBorder="1"/>
    <xf numFmtId="14" fontId="0" fillId="18" borderId="4" xfId="0" applyNumberFormat="1" applyFill="1" applyBorder="1"/>
    <xf numFmtId="0" fontId="0" fillId="19" borderId="0" xfId="0" applyFill="1" applyAlignment="1">
      <alignment horizontal="center" vertical="center" wrapText="1"/>
    </xf>
    <xf numFmtId="0" fontId="47" fillId="19" borderId="0" xfId="0" applyFont="1" applyFill="1" applyAlignment="1">
      <alignment horizontal="center" vertical="center"/>
    </xf>
    <xf numFmtId="1" fontId="30" fillId="0" borderId="0" xfId="0" applyNumberFormat="1" applyFont="1" applyProtection="1">
      <protection locked="0"/>
    </xf>
    <xf numFmtId="0" fontId="10" fillId="20" borderId="56" xfId="0" applyFont="1" applyFill="1" applyBorder="1"/>
    <xf numFmtId="0" fontId="5" fillId="2" borderId="0" xfId="0" applyFont="1" applyFill="1" applyAlignment="1">
      <alignment horizontal="center" vertical="center" wrapText="1"/>
    </xf>
    <xf numFmtId="1" fontId="36" fillId="12" borderId="9" xfId="0" applyNumberFormat="1" applyFont="1" applyFill="1" applyBorder="1" applyAlignment="1">
      <alignment horizontal="center" vertical="center"/>
    </xf>
    <xf numFmtId="0" fontId="36" fillId="12" borderId="4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14" fontId="4" fillId="0" borderId="3" xfId="0" applyNumberFormat="1" applyFont="1" applyBorder="1" applyAlignment="1">
      <alignment horizontal="center" vertical="center"/>
    </xf>
    <xf numFmtId="14" fontId="30" fillId="0" borderId="0" xfId="0" applyNumberFormat="1" applyFont="1" applyAlignment="1">
      <alignment horizontal="left"/>
    </xf>
    <xf numFmtId="14" fontId="24" fillId="2" borderId="0" xfId="0" applyNumberFormat="1" applyFont="1" applyFill="1" applyAlignment="1">
      <alignment horizontal="right" vertical="center"/>
    </xf>
    <xf numFmtId="0" fontId="0" fillId="0" borderId="0" xfId="0" applyProtection="1">
      <protection locked="0"/>
    </xf>
    <xf numFmtId="0" fontId="14" fillId="9" borderId="59" xfId="0" applyFont="1" applyFill="1" applyBorder="1" applyAlignment="1">
      <alignment horizontal="center" vertical="center" wrapText="1"/>
    </xf>
    <xf numFmtId="0" fontId="0" fillId="21" borderId="0" xfId="0" applyFill="1"/>
    <xf numFmtId="0" fontId="0" fillId="21" borderId="11" xfId="0" applyFill="1" applyBorder="1"/>
    <xf numFmtId="0" fontId="0" fillId="21" borderId="8" xfId="0" applyFill="1" applyBorder="1"/>
    <xf numFmtId="0" fontId="0" fillId="21" borderId="10" xfId="0" applyFill="1" applyBorder="1"/>
    <xf numFmtId="0" fontId="0" fillId="6" borderId="7" xfId="0" applyFill="1" applyBorder="1"/>
    <xf numFmtId="0" fontId="0" fillId="0" borderId="12" xfId="0" applyBorder="1"/>
    <xf numFmtId="0" fontId="0" fillId="21" borderId="9" xfId="0" applyFill="1" applyBorder="1"/>
    <xf numFmtId="0" fontId="0" fillId="21" borderId="12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22" fillId="0" borderId="0" xfId="0" applyFont="1" applyAlignment="1">
      <alignment wrapText="1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5" borderId="4" xfId="0" applyFill="1" applyBorder="1" applyAlignment="1">
      <alignment horizontal="left" wrapText="1"/>
    </xf>
    <xf numFmtId="0" fontId="0" fillId="16" borderId="4" xfId="0" applyFill="1" applyBorder="1" applyAlignment="1">
      <alignment wrapText="1"/>
    </xf>
    <xf numFmtId="0" fontId="0" fillId="7" borderId="4" xfId="0" applyFill="1" applyBorder="1"/>
    <xf numFmtId="0" fontId="0" fillId="7" borderId="42" xfId="0" applyFill="1" applyBorder="1"/>
    <xf numFmtId="0" fontId="0" fillId="7" borderId="43" xfId="0" applyFill="1" applyBorder="1"/>
    <xf numFmtId="0" fontId="0" fillId="7" borderId="85" xfId="0" applyFill="1" applyBorder="1"/>
    <xf numFmtId="0" fontId="0" fillId="7" borderId="88" xfId="0" applyFill="1" applyBorder="1"/>
    <xf numFmtId="0" fontId="0" fillId="7" borderId="90" xfId="0" applyFill="1" applyBorder="1"/>
    <xf numFmtId="0" fontId="0" fillId="7" borderId="91" xfId="0" applyFill="1" applyBorder="1"/>
    <xf numFmtId="0" fontId="0" fillId="22" borderId="0" xfId="0" applyFill="1"/>
    <xf numFmtId="0" fontId="14" fillId="22" borderId="0" xfId="0" applyFont="1" applyFill="1"/>
    <xf numFmtId="0" fontId="0" fillId="13" borderId="0" xfId="0" applyFill="1"/>
    <xf numFmtId="0" fontId="0" fillId="0" borderId="55" xfId="0" applyBorder="1" applyAlignment="1">
      <alignment wrapText="1"/>
    </xf>
    <xf numFmtId="0" fontId="6" fillId="0" borderId="57" xfId="0" applyFont="1" applyBorder="1" applyAlignment="1">
      <alignment wrapText="1"/>
    </xf>
    <xf numFmtId="0" fontId="0" fillId="5" borderId="19" xfId="0" applyFill="1" applyBorder="1"/>
    <xf numFmtId="0" fontId="49" fillId="21" borderId="0" xfId="0" applyFont="1" applyFill="1"/>
    <xf numFmtId="0" fontId="49" fillId="21" borderId="11" xfId="0" applyFont="1" applyFill="1" applyBorder="1"/>
    <xf numFmtId="14" fontId="0" fillId="7" borderId="89" xfId="0" applyNumberFormat="1" applyFill="1" applyBorder="1"/>
    <xf numFmtId="0" fontId="0" fillId="2" borderId="4" xfId="0" applyFill="1" applyBorder="1"/>
    <xf numFmtId="14" fontId="0" fillId="2" borderId="4" xfId="0" applyNumberFormat="1" applyFill="1" applyBorder="1"/>
    <xf numFmtId="0" fontId="14" fillId="2" borderId="19" xfId="0" applyFont="1" applyFill="1" applyBorder="1"/>
    <xf numFmtId="0" fontId="0" fillId="2" borderId="20" xfId="0" applyFill="1" applyBorder="1"/>
    <xf numFmtId="0" fontId="0" fillId="2" borderId="4" xfId="0" applyFill="1" applyBorder="1" applyAlignment="1">
      <alignment horizontal="left"/>
    </xf>
    <xf numFmtId="0" fontId="0" fillId="2" borderId="19" xfId="0" applyFill="1" applyBorder="1"/>
    <xf numFmtId="0" fontId="0" fillId="2" borderId="23" xfId="0" applyFill="1" applyBorder="1"/>
    <xf numFmtId="0" fontId="0" fillId="2" borderId="4" xfId="0" applyFill="1" applyBorder="1" applyAlignment="1">
      <alignment vertical="top" wrapText="1"/>
    </xf>
    <xf numFmtId="0" fontId="0" fillId="23" borderId="4" xfId="0" applyFill="1" applyBorder="1"/>
    <xf numFmtId="167" fontId="0" fillId="2" borderId="4" xfId="0" applyNumberFormat="1" applyFill="1" applyBorder="1"/>
    <xf numFmtId="0" fontId="14" fillId="7" borderId="41" xfId="0" applyFont="1" applyFill="1" applyBorder="1"/>
    <xf numFmtId="0" fontId="50" fillId="0" borderId="0" xfId="0" applyFont="1" applyAlignment="1">
      <alignment horizontal="right" vertical="top" wrapText="1"/>
    </xf>
    <xf numFmtId="0" fontId="51" fillId="0" borderId="0" xfId="0" applyFont="1" applyAlignment="1">
      <alignment horizontal="right" vertical="top" wrapText="1"/>
    </xf>
    <xf numFmtId="0" fontId="0" fillId="2" borderId="20" xfId="0" applyFill="1" applyBorder="1" applyAlignment="1">
      <alignment vertical="top" wrapText="1"/>
    </xf>
    <xf numFmtId="14" fontId="0" fillId="0" borderId="93" xfId="0" applyNumberFormat="1" applyBorder="1"/>
    <xf numFmtId="0" fontId="0" fillId="21" borderId="6" xfId="0" applyFill="1" applyBorder="1"/>
    <xf numFmtId="0" fontId="0" fillId="0" borderId="93" xfId="0" applyBorder="1"/>
    <xf numFmtId="0" fontId="0" fillId="0" borderId="94" xfId="0" applyBorder="1"/>
    <xf numFmtId="0" fontId="14" fillId="2" borderId="4" xfId="0" applyFont="1" applyFill="1" applyBorder="1"/>
    <xf numFmtId="0" fontId="14" fillId="2" borderId="4" xfId="0" applyFont="1" applyFill="1" applyBorder="1" applyAlignment="1">
      <alignment vertical="top" wrapText="1"/>
    </xf>
    <xf numFmtId="14" fontId="14" fillId="9" borderId="0" xfId="0" applyNumberFormat="1" applyFont="1" applyFill="1" applyAlignment="1">
      <alignment horizontal="right" vertical="center"/>
    </xf>
    <xf numFmtId="14" fontId="14" fillId="9" borderId="49" xfId="0" applyNumberFormat="1" applyFont="1" applyFill="1" applyBorder="1" applyAlignment="1">
      <alignment horizontal="center" vertical="center" wrapText="1"/>
    </xf>
    <xf numFmtId="0" fontId="0" fillId="9" borderId="0" xfId="0" applyFill="1" applyAlignment="1">
      <alignment horizontal="right"/>
    </xf>
    <xf numFmtId="0" fontId="14" fillId="9" borderId="50" xfId="0" applyFont="1" applyFill="1" applyBorder="1" applyAlignment="1">
      <alignment horizontal="right" vertical="center" wrapText="1"/>
    </xf>
    <xf numFmtId="0" fontId="52" fillId="0" borderId="0" xfId="3"/>
    <xf numFmtId="0" fontId="0" fillId="0" borderId="95" xfId="0" applyBorder="1" applyAlignment="1">
      <alignment horizontal="right" vertical="center" wrapText="1"/>
    </xf>
    <xf numFmtId="0" fontId="0" fillId="0" borderId="95" xfId="0" applyBorder="1" applyAlignment="1">
      <alignment horizontal="center" vertical="center" wrapText="1"/>
    </xf>
    <xf numFmtId="0" fontId="13" fillId="9" borderId="58" xfId="0" applyFont="1" applyFill="1" applyBorder="1" applyAlignment="1">
      <alignment horizontal="center" vertical="center"/>
    </xf>
    <xf numFmtId="0" fontId="40" fillId="14" borderId="96" xfId="1" applyFont="1" applyFill="1" applyBorder="1" applyAlignment="1">
      <alignment horizontal="center" vertical="center"/>
    </xf>
    <xf numFmtId="0" fontId="40" fillId="14" borderId="97" xfId="1" applyFont="1" applyFill="1" applyBorder="1" applyAlignment="1">
      <alignment horizontal="center" vertical="center"/>
    </xf>
    <xf numFmtId="0" fontId="40" fillId="14" borderId="98" xfId="1" applyFont="1" applyFill="1" applyBorder="1" applyAlignment="1">
      <alignment horizontal="center" vertical="center"/>
    </xf>
    <xf numFmtId="0" fontId="40" fillId="14" borderId="99" xfId="1" applyFont="1" applyFill="1" applyBorder="1" applyAlignment="1">
      <alignment horizontal="center" vertical="center"/>
    </xf>
    <xf numFmtId="0" fontId="41" fillId="0" borderId="84" xfId="1" applyFont="1" applyBorder="1" applyAlignment="1">
      <alignment horizontal="center" vertical="center"/>
    </xf>
    <xf numFmtId="0" fontId="42" fillId="0" borderId="88" xfId="1" applyFont="1" applyBorder="1" applyAlignment="1">
      <alignment horizontal="center" vertical="center"/>
    </xf>
    <xf numFmtId="0" fontId="41" fillId="0" borderId="100" xfId="1" applyFont="1" applyBorder="1" applyAlignment="1">
      <alignment horizontal="center" vertical="center"/>
    </xf>
    <xf numFmtId="0" fontId="41" fillId="0" borderId="101" xfId="1" applyFont="1" applyBorder="1" applyAlignment="1">
      <alignment horizontal="center" vertical="center"/>
    </xf>
    <xf numFmtId="0" fontId="42" fillId="0" borderId="84" xfId="1" applyFont="1" applyBorder="1" applyAlignment="1">
      <alignment horizontal="center" vertical="center"/>
    </xf>
    <xf numFmtId="0" fontId="42" fillId="15" borderId="88" xfId="1" applyFont="1" applyFill="1" applyBorder="1" applyAlignment="1">
      <alignment horizontal="center" vertical="center"/>
    </xf>
    <xf numFmtId="0" fontId="42" fillId="0" borderId="102" xfId="1" applyFont="1" applyBorder="1" applyAlignment="1">
      <alignment horizontal="center" vertical="center"/>
    </xf>
    <xf numFmtId="0" fontId="42" fillId="0" borderId="103" xfId="1" applyFont="1" applyBorder="1" applyAlignment="1">
      <alignment horizontal="center" vertical="center"/>
    </xf>
    <xf numFmtId="0" fontId="42" fillId="0" borderId="104" xfId="1" applyFont="1" applyBorder="1" applyAlignment="1">
      <alignment horizontal="center" vertical="center"/>
    </xf>
    <xf numFmtId="0" fontId="42" fillId="0" borderId="105" xfId="1" applyFont="1" applyBorder="1" applyAlignment="1">
      <alignment horizontal="center" vertical="center"/>
    </xf>
    <xf numFmtId="0" fontId="42" fillId="0" borderId="106" xfId="1" applyFont="1" applyBorder="1" applyAlignment="1">
      <alignment horizontal="center" vertical="center"/>
    </xf>
    <xf numFmtId="0" fontId="42" fillId="0" borderId="107" xfId="1" applyFont="1" applyBorder="1" applyAlignment="1">
      <alignment horizontal="center" vertical="center"/>
    </xf>
    <xf numFmtId="0" fontId="42" fillId="0" borderId="90" xfId="1" applyFont="1" applyBorder="1" applyAlignment="1">
      <alignment horizontal="center" vertical="center"/>
    </xf>
    <xf numFmtId="0" fontId="42" fillId="20" borderId="88" xfId="1" applyFont="1" applyFill="1" applyBorder="1" applyAlignment="1">
      <alignment horizontal="center" vertical="center"/>
    </xf>
    <xf numFmtId="0" fontId="42" fillId="20" borderId="20" xfId="1" applyFont="1" applyFill="1" applyBorder="1" applyAlignment="1">
      <alignment horizontal="center" vertical="center"/>
    </xf>
    <xf numFmtId="0" fontId="53" fillId="0" borderId="4" xfId="1" applyFont="1" applyBorder="1" applyAlignment="1">
      <alignment horizontal="center" vertical="center"/>
    </xf>
    <xf numFmtId="0" fontId="42" fillId="0" borderId="91" xfId="1" applyFont="1" applyBorder="1" applyAlignment="1">
      <alignment horizontal="center" vertical="center"/>
    </xf>
    <xf numFmtId="0" fontId="42" fillId="0" borderId="84" xfId="1" applyFont="1" applyBorder="1" applyAlignment="1">
      <alignment horizontal="center" vertical="center" readingOrder="2"/>
    </xf>
    <xf numFmtId="0" fontId="42" fillId="0" borderId="20" xfId="1" applyFont="1" applyBorder="1" applyAlignment="1">
      <alignment horizontal="center" vertical="center" readingOrder="2"/>
    </xf>
    <xf numFmtId="0" fontId="42" fillId="0" borderId="74" xfId="1" applyFont="1" applyBorder="1" applyAlignment="1">
      <alignment horizontal="center" vertical="center" readingOrder="2"/>
    </xf>
    <xf numFmtId="0" fontId="43" fillId="0" borderId="0" xfId="1" applyFont="1" applyAlignment="1">
      <alignment horizontal="center"/>
    </xf>
    <xf numFmtId="0" fontId="0" fillId="0" borderId="92" xfId="0" applyBorder="1" applyAlignment="1">
      <alignment horizontal="left" vertical="center" wrapText="1"/>
    </xf>
    <xf numFmtId="0" fontId="0" fillId="0" borderId="0" xfId="0" applyNumberFormat="1"/>
    <xf numFmtId="0" fontId="0" fillId="0" borderId="0" xfId="0" applyAlignment="1">
      <alignment vertical="center" wrapText="1"/>
    </xf>
    <xf numFmtId="14" fontId="5" fillId="0" borderId="0" xfId="0" applyNumberFormat="1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14" fontId="7" fillId="0" borderId="0" xfId="0" applyNumberFormat="1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0" fillId="0" borderId="0" xfId="0" applyNumberFormat="1" applyFont="1"/>
    <xf numFmtId="0" fontId="10" fillId="0" borderId="2" xfId="0" applyNumberFormat="1" applyFont="1" applyBorder="1"/>
    <xf numFmtId="168" fontId="12" fillId="0" borderId="0" xfId="0" applyNumberFormat="1" applyFont="1"/>
    <xf numFmtId="0" fontId="12" fillId="0" borderId="0" xfId="0" applyNumberFormat="1" applyFont="1"/>
    <xf numFmtId="0" fontId="13" fillId="0" borderId="8" xfId="0" applyFont="1" applyBorder="1"/>
    <xf numFmtId="14" fontId="5" fillId="0" borderId="108" xfId="0" applyNumberFormat="1" applyFont="1" applyBorder="1" applyAlignment="1">
      <alignment horizontal="center" vertical="center" wrapText="1"/>
    </xf>
    <xf numFmtId="0" fontId="5" fillId="0" borderId="108" xfId="0" applyFont="1" applyBorder="1" applyAlignment="1">
      <alignment horizontal="center" vertical="center" wrapText="1"/>
    </xf>
    <xf numFmtId="0" fontId="0" fillId="0" borderId="108" xfId="0" applyBorder="1" applyAlignment="1">
      <alignment horizontal="center" vertical="center" wrapText="1"/>
    </xf>
    <xf numFmtId="14" fontId="0" fillId="0" borderId="109" xfId="0" applyNumberFormat="1" applyBorder="1" applyAlignment="1">
      <alignment horizontal="center" vertical="center" wrapText="1"/>
    </xf>
    <xf numFmtId="0" fontId="0" fillId="0" borderId="109" xfId="0" applyBorder="1" applyAlignment="1">
      <alignment horizontal="center" vertical="center" wrapText="1"/>
    </xf>
  </cellXfs>
  <cellStyles count="4">
    <cellStyle name="Hyperlink" xfId="3" builtinId="8"/>
    <cellStyle name="Normal" xfId="0" builtinId="0"/>
    <cellStyle name="Normal 2" xfId="1" xr:uid="{48B05149-ACEF-48C6-8525-7E2F10666643}"/>
    <cellStyle name="Normal 5" xfId="2" xr:uid="{D6C850BA-4532-4978-A122-B336E7911C77}"/>
  </cellStyles>
  <dxfs count="88">
    <dxf>
      <fill>
        <gradientFill>
          <stop position="0">
            <color theme="0"/>
          </stop>
          <stop position="1">
            <color theme="3" tint="0.40000610370189521"/>
          </stop>
        </gradientFill>
      </fill>
      <border>
        <top style="hair">
          <color auto="1"/>
        </top>
        <bottom style="hair">
          <color auto="1"/>
        </bottom>
      </border>
    </dxf>
    <dxf>
      <border>
        <left style="dashDotDot">
          <color auto="1"/>
        </left>
        <right style="dashDotDot">
          <color auto="1"/>
        </right>
        <vertical/>
        <horizontal/>
      </border>
    </dxf>
    <dxf>
      <fill>
        <patternFill>
          <bgColor rgb="FFFEE3DE"/>
        </patternFill>
      </fill>
    </dxf>
    <dxf>
      <font>
        <b/>
        <i val="0"/>
      </font>
    </dxf>
    <dxf>
      <font>
        <color theme="5"/>
      </font>
    </dxf>
    <dxf>
      <font>
        <color rgb="FFFF0000"/>
      </font>
    </dxf>
    <dxf>
      <font>
        <b val="0"/>
        <i val="0"/>
        <color rgb="FFC00000"/>
      </font>
    </dxf>
    <dxf>
      <font>
        <b/>
        <i val="0"/>
      </font>
    </dxf>
    <dxf>
      <font>
        <color rgb="FF008000"/>
      </font>
    </dxf>
    <dxf>
      <font>
        <color rgb="FFC00000"/>
      </font>
    </dxf>
    <dxf>
      <font>
        <color rgb="FFFF5757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 patternType="lightDown">
          <fgColor rgb="FFFFD347"/>
        </patternFill>
      </fill>
    </dxf>
    <dxf>
      <fill>
        <patternFill patternType="lightDown">
          <fgColor rgb="FFFBAFB1"/>
        </patternFill>
      </fill>
    </dxf>
    <dxf>
      <fill>
        <patternFill patternType="lightUp">
          <fgColor rgb="FFFFC000"/>
        </patternFill>
      </fill>
    </dxf>
    <dxf>
      <fill>
        <patternFill patternType="lightUp">
          <fgColor rgb="FFFBAFB1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ill>
        <patternFill>
          <bgColor theme="9" tint="0.79998168889431442"/>
        </patternFill>
      </fill>
    </dxf>
    <dxf>
      <fill>
        <patternFill>
          <bgColor rgb="FFFCD7D6"/>
        </patternFill>
      </fill>
    </dxf>
    <dxf>
      <numFmt numFmtId="22" formatCode="mmm\-yy"/>
    </dxf>
    <dxf>
      <border outline="0">
        <left style="medium">
          <color indexed="64"/>
        </left>
      </border>
    </dxf>
    <dxf>
      <font>
        <strike val="0"/>
        <outline val="0"/>
        <shadow val="0"/>
        <u/>
        <vertAlign val="baseline"/>
        <sz val="11"/>
        <color theme="1"/>
        <name val="Arial"/>
        <family val="2"/>
        <charset val="177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2"/>
    </dxf>
    <dxf>
      <border diagonalUp="0" diagonalDown="0" outline="0">
        <left style="thin">
          <color indexed="64"/>
        </left>
        <right/>
        <top/>
        <bottom/>
      </border>
    </dxf>
    <dxf>
      <numFmt numFmtId="168" formatCode="m/d/yyyy"/>
    </dxf>
    <dxf>
      <numFmt numFmtId="168" formatCode="m/d/yyyy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8" formatCode="m/d/yyyy"/>
    </dxf>
    <dxf>
      <numFmt numFmtId="171" formatCode="[$-1010000]dd/mm/yyyy;@"/>
    </dxf>
    <dxf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</dxf>
    <dxf>
      <numFmt numFmtId="0" formatCode="General"/>
    </dxf>
    <dxf>
      <numFmt numFmtId="0" formatCode="General"/>
    </dxf>
    <dxf>
      <numFmt numFmtId="168" formatCode="m/d/yyyy"/>
    </dxf>
    <dxf>
      <numFmt numFmtId="168" formatCode="m/d/yyyy"/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right style="thin">
          <color indexed="64"/>
        </right>
      </border>
    </dxf>
    <dxf>
      <font>
        <b val="0"/>
      </font>
      <numFmt numFmtId="0" formatCode="General"/>
    </dxf>
    <dxf>
      <numFmt numFmtId="171" formatCode="[$-1010000]dd/mm/yyyy;@"/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0" formatCode="0.0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0" formatCode="0.0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0" formatCode="0.0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8" formatCode="m/d/yyyy"/>
    </dxf>
    <dxf>
      <border outline="0">
        <left style="thin">
          <color indexed="64"/>
        </left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outline="0">
        <left/>
        <right style="thin">
          <color indexed="64"/>
        </right>
      </border>
    </dxf>
    <dxf>
      <alignment horizontal="right" vertical="bottom" textRotation="0" wrapText="0" indent="0" justifyLastLine="0" shrinkToFit="0" readingOrder="2"/>
    </dxf>
    <dxf>
      <border diagonalUp="0" diagonalDown="0" outline="0">
        <left style="thin">
          <color auto="1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numFmt numFmtId="167" formatCode="[$-1000000]0\-0000000\-0"/>
    </dxf>
    <dxf>
      <numFmt numFmtId="0" formatCode="General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righ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BB1111"/>
      <color rgb="FFFADADA"/>
      <color rgb="FFF05656"/>
      <color rgb="FFF8AEAE"/>
      <color rgb="FFCC6600"/>
      <color rgb="FFCC9900"/>
      <color rgb="FFFF8205"/>
      <color rgb="FFFEE3DE"/>
      <color rgb="FF7F7F7F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0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1">
              <a:def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  <a:t>מצב כללי:</a:t>
            </a:r>
            <a:br>
              <a: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</a:br>
            <a:r>
              <a: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  <a:t>מעבר בחני שטח</a:t>
            </a:r>
          </a:p>
        </c:rich>
      </c:tx>
      <c:layout>
        <c:manualLayout>
          <c:xMode val="edge"/>
          <c:yMode val="edge"/>
          <c:x val="0.33279305555555555"/>
          <c:y val="3.33085185185185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1">
            <a:defRPr lang="he-IL" sz="1400" b="1" i="0" u="none" strike="noStrike" kern="1200" cap="none" spc="2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43925916666666665"/>
          <c:y val="0.3802855555555556"/>
          <c:w val="0.39443555555555554"/>
          <c:h val="0.5259140740740740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2A6-42AC-9B3F-8D657737532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A6-42AC-9B3F-8D657737532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2A6-42AC-9B3F-8D657737532E}"/>
              </c:ext>
            </c:extLst>
          </c:dPt>
          <c:dLbls>
            <c:dLbl>
              <c:idx val="0"/>
              <c:layout>
                <c:manualLayout>
                  <c:x val="0.12566784254351057"/>
                  <c:y val="-2.44956357199537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A6-42AC-9B3F-8D657737532E}"/>
                </c:ext>
              </c:extLst>
            </c:dLbl>
            <c:dLbl>
              <c:idx val="1"/>
              <c:layout>
                <c:manualLayout>
                  <c:x val="-0.13058249999999999"/>
                  <c:y val="0.1500481481481481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A6-42AC-9B3F-8D657737532E}"/>
                </c:ext>
              </c:extLst>
            </c:dLbl>
            <c:dLbl>
              <c:idx val="2"/>
              <c:layout>
                <c:manualLayout>
                  <c:x val="0.17830916666666655"/>
                  <c:y val="4.544259259259256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2A6-42AC-9B3F-8D65773753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'סיכום - בחני שטח'!$J$4:$J$7</c15:sqref>
                  </c15:fullRef>
                </c:ext>
              </c:extLst>
              <c:f>'סיכום - בחני שטח'!$J$4:$J$6</c:f>
              <c:strCache>
                <c:ptCount val="3"/>
                <c:pt idx="0">
                  <c:v>עברו</c:v>
                </c:pt>
                <c:pt idx="1">
                  <c:v>לא עברו, מעל חודש</c:v>
                </c:pt>
                <c:pt idx="2">
                  <c:v>לא עברו, פחות מחודש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'סיכום - בחני שטח'!$K$4:$K$7</c15:sqref>
                  </c15:fullRef>
                </c:ext>
              </c:extLst>
              <c:f>'סיכום - בחני שטח'!$K$4:$K$6</c:f>
              <c:numCache>
                <c:formatCode>General</c:formatCode>
                <c:ptCount val="3"/>
                <c:pt idx="0">
                  <c:v>2</c:v>
                </c:pt>
                <c:pt idx="1">
                  <c:v>46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'סיכום - בחני שטח'!$K$7</c15:sqref>
                  <c15:bubble3D val="0"/>
                  <c15:dLbl>
                    <c:idx val="2"/>
                    <c:layout>
                      <c:manualLayout>
                        <c:x val="0.16971353153776833"/>
                        <c:y val="4.4587682353659279E-2"/>
                      </c:manualLayout>
                    </c:layout>
                    <c:dLblPos val="bestFit"/>
                    <c:showLegendKey val="0"/>
                    <c:showVal val="1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8777-4589-85EA-DA8EB9539A0D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6-72A6-42AC-9B3F-8D6577375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2.1166666666666667E-2"/>
          <c:y val="0.67538851851851855"/>
          <c:w val="0.33062861111111114"/>
          <c:h val="0.275756296296296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1">
              <a:def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  <a:t>מצב כללי:</a:t>
            </a:r>
            <a:br>
              <a: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</a:br>
            <a:r>
              <a: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  <a:t>איחורים/חורים שבועיים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1">
            <a:defRPr lang="he-IL" sz="1400" b="1" i="0" u="none" strike="noStrike" kern="1200" cap="none" spc="2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'מידע לגרפים'!$E$34</c:f>
              <c:strCache>
                <c:ptCount val="1"/>
                <c:pt idx="0">
                  <c:v>איחורים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'מידע לגרפים'!$D$35:$D$87</c:f>
              <c:strCache>
                <c:ptCount val="53"/>
                <c:pt idx="0">
                  <c:v>39, 2024</c:v>
                </c:pt>
                <c:pt idx="1">
                  <c:v>38, 2024</c:v>
                </c:pt>
                <c:pt idx="2">
                  <c:v>37, 2024</c:v>
                </c:pt>
                <c:pt idx="3">
                  <c:v>36, 2024</c:v>
                </c:pt>
                <c:pt idx="4">
                  <c:v>35, 2024</c:v>
                </c:pt>
                <c:pt idx="5">
                  <c:v>34, 2024</c:v>
                </c:pt>
                <c:pt idx="6">
                  <c:v>33, 2024</c:v>
                </c:pt>
                <c:pt idx="7">
                  <c:v>32, 2024</c:v>
                </c:pt>
                <c:pt idx="8">
                  <c:v>31, 2024</c:v>
                </c:pt>
                <c:pt idx="9">
                  <c:v>30, 2024</c:v>
                </c:pt>
                <c:pt idx="10">
                  <c:v>29, 2024</c:v>
                </c:pt>
                <c:pt idx="11">
                  <c:v>28, 2024</c:v>
                </c:pt>
                <c:pt idx="12">
                  <c:v>27, 2024</c:v>
                </c:pt>
                <c:pt idx="13">
                  <c:v>26, 2024</c:v>
                </c:pt>
                <c:pt idx="14">
                  <c:v>25, 2024</c:v>
                </c:pt>
                <c:pt idx="15">
                  <c:v>24, 2024</c:v>
                </c:pt>
                <c:pt idx="16">
                  <c:v>23, 2024</c:v>
                </c:pt>
                <c:pt idx="17">
                  <c:v>22, 2024</c:v>
                </c:pt>
                <c:pt idx="18">
                  <c:v>21, 2024</c:v>
                </c:pt>
                <c:pt idx="19">
                  <c:v>20, 2024</c:v>
                </c:pt>
                <c:pt idx="20">
                  <c:v>19, 2024</c:v>
                </c:pt>
                <c:pt idx="21">
                  <c:v>18, 2024</c:v>
                </c:pt>
                <c:pt idx="22">
                  <c:v>17, 2024</c:v>
                </c:pt>
                <c:pt idx="23">
                  <c:v>16, 2024</c:v>
                </c:pt>
                <c:pt idx="24">
                  <c:v>15, 2024</c:v>
                </c:pt>
                <c:pt idx="25">
                  <c:v>14, 2024</c:v>
                </c:pt>
                <c:pt idx="26">
                  <c:v>13, 2024</c:v>
                </c:pt>
                <c:pt idx="27">
                  <c:v>12, 2024</c:v>
                </c:pt>
                <c:pt idx="28">
                  <c:v>11, 2024</c:v>
                </c:pt>
                <c:pt idx="29">
                  <c:v>10, 2024</c:v>
                </c:pt>
                <c:pt idx="30">
                  <c:v>9, 2024</c:v>
                </c:pt>
                <c:pt idx="31">
                  <c:v>8, 2024</c:v>
                </c:pt>
                <c:pt idx="32">
                  <c:v>7, 2024</c:v>
                </c:pt>
                <c:pt idx="33">
                  <c:v>6, 2024</c:v>
                </c:pt>
                <c:pt idx="34">
                  <c:v>5, 2024</c:v>
                </c:pt>
                <c:pt idx="35">
                  <c:v>4, 2024</c:v>
                </c:pt>
                <c:pt idx="36">
                  <c:v>3, 2024</c:v>
                </c:pt>
                <c:pt idx="37">
                  <c:v>2, 2024</c:v>
                </c:pt>
                <c:pt idx="38">
                  <c:v>1, 2024</c:v>
                </c:pt>
                <c:pt idx="39">
                  <c:v>52, 2023</c:v>
                </c:pt>
                <c:pt idx="40">
                  <c:v>51, 2023</c:v>
                </c:pt>
                <c:pt idx="41">
                  <c:v>50, 2023</c:v>
                </c:pt>
                <c:pt idx="42">
                  <c:v>49, 2023</c:v>
                </c:pt>
                <c:pt idx="43">
                  <c:v>48, 2023</c:v>
                </c:pt>
                <c:pt idx="44">
                  <c:v>47, 2023</c:v>
                </c:pt>
                <c:pt idx="45">
                  <c:v>46, 2023</c:v>
                </c:pt>
                <c:pt idx="46">
                  <c:v>45, 2023</c:v>
                </c:pt>
                <c:pt idx="47">
                  <c:v>44, 2023</c:v>
                </c:pt>
                <c:pt idx="48">
                  <c:v>43, 2023</c:v>
                </c:pt>
                <c:pt idx="49">
                  <c:v>42, 2023</c:v>
                </c:pt>
                <c:pt idx="50">
                  <c:v>41, 2023</c:v>
                </c:pt>
                <c:pt idx="51">
                  <c:v>40, 2023</c:v>
                </c:pt>
                <c:pt idx="52">
                  <c:v>39, 2023</c:v>
                </c:pt>
              </c:strCache>
            </c:strRef>
          </c:cat>
          <c:val>
            <c:numRef>
              <c:f>'מידע לגרפים'!$E$35:$E$87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0-4EF2-A0ED-D82BB433F990}"/>
            </c:ext>
          </c:extLst>
        </c:ser>
        <c:ser>
          <c:idx val="1"/>
          <c:order val="1"/>
          <c:tx>
            <c:strRef>
              <c:f>'מידע לגרפים'!$F$34</c:f>
              <c:strCache>
                <c:ptCount val="1"/>
                <c:pt idx="0">
                  <c:v>חורים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'מידע לגרפים'!$D$35:$D$87</c:f>
              <c:strCache>
                <c:ptCount val="53"/>
                <c:pt idx="0">
                  <c:v>39, 2024</c:v>
                </c:pt>
                <c:pt idx="1">
                  <c:v>38, 2024</c:v>
                </c:pt>
                <c:pt idx="2">
                  <c:v>37, 2024</c:v>
                </c:pt>
                <c:pt idx="3">
                  <c:v>36, 2024</c:v>
                </c:pt>
                <c:pt idx="4">
                  <c:v>35, 2024</c:v>
                </c:pt>
                <c:pt idx="5">
                  <c:v>34, 2024</c:v>
                </c:pt>
                <c:pt idx="6">
                  <c:v>33, 2024</c:v>
                </c:pt>
                <c:pt idx="7">
                  <c:v>32, 2024</c:v>
                </c:pt>
                <c:pt idx="8">
                  <c:v>31, 2024</c:v>
                </c:pt>
                <c:pt idx="9">
                  <c:v>30, 2024</c:v>
                </c:pt>
                <c:pt idx="10">
                  <c:v>29, 2024</c:v>
                </c:pt>
                <c:pt idx="11">
                  <c:v>28, 2024</c:v>
                </c:pt>
                <c:pt idx="12">
                  <c:v>27, 2024</c:v>
                </c:pt>
                <c:pt idx="13">
                  <c:v>26, 2024</c:v>
                </c:pt>
                <c:pt idx="14">
                  <c:v>25, 2024</c:v>
                </c:pt>
                <c:pt idx="15">
                  <c:v>24, 2024</c:v>
                </c:pt>
                <c:pt idx="16">
                  <c:v>23, 2024</c:v>
                </c:pt>
                <c:pt idx="17">
                  <c:v>22, 2024</c:v>
                </c:pt>
                <c:pt idx="18">
                  <c:v>21, 2024</c:v>
                </c:pt>
                <c:pt idx="19">
                  <c:v>20, 2024</c:v>
                </c:pt>
                <c:pt idx="20">
                  <c:v>19, 2024</c:v>
                </c:pt>
                <c:pt idx="21">
                  <c:v>18, 2024</c:v>
                </c:pt>
                <c:pt idx="22">
                  <c:v>17, 2024</c:v>
                </c:pt>
                <c:pt idx="23">
                  <c:v>16, 2024</c:v>
                </c:pt>
                <c:pt idx="24">
                  <c:v>15, 2024</c:v>
                </c:pt>
                <c:pt idx="25">
                  <c:v>14, 2024</c:v>
                </c:pt>
                <c:pt idx="26">
                  <c:v>13, 2024</c:v>
                </c:pt>
                <c:pt idx="27">
                  <c:v>12, 2024</c:v>
                </c:pt>
                <c:pt idx="28">
                  <c:v>11, 2024</c:v>
                </c:pt>
                <c:pt idx="29">
                  <c:v>10, 2024</c:v>
                </c:pt>
                <c:pt idx="30">
                  <c:v>9, 2024</c:v>
                </c:pt>
                <c:pt idx="31">
                  <c:v>8, 2024</c:v>
                </c:pt>
                <c:pt idx="32">
                  <c:v>7, 2024</c:v>
                </c:pt>
                <c:pt idx="33">
                  <c:v>6, 2024</c:v>
                </c:pt>
                <c:pt idx="34">
                  <c:v>5, 2024</c:v>
                </c:pt>
                <c:pt idx="35">
                  <c:v>4, 2024</c:v>
                </c:pt>
                <c:pt idx="36">
                  <c:v>3, 2024</c:v>
                </c:pt>
                <c:pt idx="37">
                  <c:v>2, 2024</c:v>
                </c:pt>
                <c:pt idx="38">
                  <c:v>1, 2024</c:v>
                </c:pt>
                <c:pt idx="39">
                  <c:v>52, 2023</c:v>
                </c:pt>
                <c:pt idx="40">
                  <c:v>51, 2023</c:v>
                </c:pt>
                <c:pt idx="41">
                  <c:v>50, 2023</c:v>
                </c:pt>
                <c:pt idx="42">
                  <c:v>49, 2023</c:v>
                </c:pt>
                <c:pt idx="43">
                  <c:v>48, 2023</c:v>
                </c:pt>
                <c:pt idx="44">
                  <c:v>47, 2023</c:v>
                </c:pt>
                <c:pt idx="45">
                  <c:v>46, 2023</c:v>
                </c:pt>
                <c:pt idx="46">
                  <c:v>45, 2023</c:v>
                </c:pt>
                <c:pt idx="47">
                  <c:v>44, 2023</c:v>
                </c:pt>
                <c:pt idx="48">
                  <c:v>43, 2023</c:v>
                </c:pt>
                <c:pt idx="49">
                  <c:v>42, 2023</c:v>
                </c:pt>
                <c:pt idx="50">
                  <c:v>41, 2023</c:v>
                </c:pt>
                <c:pt idx="51">
                  <c:v>40, 2023</c:v>
                </c:pt>
                <c:pt idx="52">
                  <c:v>39, 2023</c:v>
                </c:pt>
              </c:strCache>
            </c:strRef>
          </c:cat>
          <c:val>
            <c:numRef>
              <c:f>'מידע לגרפים'!$F$35:$F$87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60-4EF2-A0ED-D82BB433F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08871408"/>
        <c:axId val="808866728"/>
      </c:barChart>
      <c:catAx>
        <c:axId val="8088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866728"/>
        <c:crosses val="autoZero"/>
        <c:auto val="1"/>
        <c:lblAlgn val="ctr"/>
        <c:lblOffset val="100"/>
        <c:noMultiLvlLbl val="0"/>
      </c:catAx>
      <c:valAx>
        <c:axId val="8088667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8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1">
              <a:def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  <a:t>מצב כללי:</a:t>
            </a:r>
            <a:br>
              <a: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</a:br>
            <a:r>
              <a: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  <a:t>ביקורות בשנה האחרונה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1">
            <a:defRPr lang="he-IL" sz="1400" b="1" i="0" u="none" strike="noStrike" kern="1200" cap="none" spc="2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41029222222222222"/>
          <c:y val="0.42346296296296299"/>
          <c:w val="0.39068055555555553"/>
          <c:h val="0.52090740740740737"/>
        </c:manualLayout>
      </c:layout>
      <c:pieChart>
        <c:varyColors val="1"/>
        <c:ser>
          <c:idx val="0"/>
          <c:order val="0"/>
          <c:tx>
            <c:strRef>
              <c:f>'מידע לגרפים'!$K$2</c:f>
              <c:strCache>
                <c:ptCount val="1"/>
                <c:pt idx="0">
                  <c:v>ביקורות בשנה אחרונה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A3A-4B52-BDCB-9415431880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A3A-4B52-BDCB-9415431880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A3A-4B52-BDCB-94154318808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5A3A-4B52-BDCB-94154318808D}"/>
              </c:ext>
            </c:extLst>
          </c:dPt>
          <c:dLbls>
            <c:dLbl>
              <c:idx val="2"/>
              <c:layout>
                <c:manualLayout>
                  <c:x val="-0.15581369443129142"/>
                  <c:y val="3.0989355497229513E-3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3A-4B52-BDCB-94154318808D}"/>
                </c:ext>
              </c:extLst>
            </c:dLbl>
            <c:dLbl>
              <c:idx val="3"/>
              <c:layout>
                <c:manualLayout>
                  <c:x val="0.12766373437231474"/>
                  <c:y val="-1.1930227471566053E-2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3A-4B52-BDCB-9415431880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'מידע לגרפים'!$J$3:$J$6</c:f>
              <c:strCache>
                <c:ptCount val="4"/>
                <c:pt idx="0">
                  <c:v>חיובית</c:v>
                </c:pt>
                <c:pt idx="1">
                  <c:v>שלילית</c:v>
                </c:pt>
                <c:pt idx="2">
                  <c:v>בינונית</c:v>
                </c:pt>
                <c:pt idx="3">
                  <c:v>בקרה</c:v>
                </c:pt>
              </c:strCache>
            </c:strRef>
          </c:cat>
          <c:val>
            <c:numRef>
              <c:f>'מידע לגרפים'!$K$3:$K$6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3A-4B52-BDCB-941543188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1">
              <a:def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  <a:t>מצב כללי:</a:t>
            </a:r>
            <a:br>
              <a: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</a:br>
            <a:r>
              <a:rPr lang="he-IL" sz="1400" b="1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  <a:t>תרגילים בשנה האחרונה</a:t>
            </a:r>
          </a:p>
        </c:rich>
      </c:tx>
      <c:layout>
        <c:manualLayout>
          <c:xMode val="edge"/>
          <c:yMode val="edge"/>
          <c:x val="0.22994861111111112"/>
          <c:y val="1.8814814814814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1">
            <a:defRPr lang="he-IL" sz="1400" b="1" i="0" u="none" strike="noStrike" kern="1200" cap="none" spc="2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'מידע לגרפים'!$E$17</c:f>
              <c:strCache>
                <c:ptCount val="1"/>
                <c:pt idx="0">
                  <c:v>טוב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'מידע לגרפים'!$D$18:$D$29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לגרפים'!$E$18:$E$29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9-4A47-83D5-2A56EDD594F9}"/>
            </c:ext>
          </c:extLst>
        </c:ser>
        <c:ser>
          <c:idx val="1"/>
          <c:order val="1"/>
          <c:tx>
            <c:strRef>
              <c:f>'מידע לגרפים'!$F$17</c:f>
              <c:strCache>
                <c:ptCount val="1"/>
                <c:pt idx="0">
                  <c:v>לא טוב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'מידע לגרפים'!$D$18:$D$29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לגרפים'!$F$18:$F$29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D9-4A47-83D5-2A56EDD594F9}"/>
            </c:ext>
          </c:extLst>
        </c:ser>
        <c:ser>
          <c:idx val="2"/>
          <c:order val="2"/>
          <c:tx>
            <c:strRef>
              <c:f>'מידע לגרפים'!$G$17</c:f>
              <c:strCache>
                <c:ptCount val="1"/>
                <c:pt idx="0">
                  <c:v>בינוני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'מידע לגרפים'!$D$18:$D$29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לגרפים'!$G$18:$G$29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D9-4A47-83D5-2A56EDD594F9}"/>
            </c:ext>
          </c:extLst>
        </c:ser>
        <c:ser>
          <c:idx val="3"/>
          <c:order val="3"/>
          <c:tx>
            <c:strRef>
              <c:f>'מידע לגרפים'!$H$17</c:f>
              <c:strCache>
                <c:ptCount val="1"/>
                <c:pt idx="0">
                  <c:v>לימודי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'מידע לגרפים'!$D$18:$D$29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לגרפים'!$H$18:$H$29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D9-4A47-83D5-2A56EDD5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08863128"/>
        <c:axId val="808867088"/>
      </c:barChart>
      <c:dateAx>
        <c:axId val="808863128"/>
        <c:scaling>
          <c:orientation val="maxMin"/>
        </c:scaling>
        <c:delete val="0"/>
        <c:axPos val="b"/>
        <c:numFmt formatCode="mmm\ yy\'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867088"/>
        <c:crosses val="autoZero"/>
        <c:auto val="1"/>
        <c:lblOffset val="100"/>
        <c:baseTimeUnit val="months"/>
      </c:dateAx>
      <c:valAx>
        <c:axId val="808867088"/>
        <c:scaling>
          <c:orientation val="minMax"/>
        </c:scaling>
        <c:delete val="0"/>
        <c:axPos val="r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86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 sz="1600" b="1" u="sng">
                <a:solidFill>
                  <a:schemeClr val="tx2"/>
                </a:solidFill>
              </a:rPr>
              <a:t>פילוח ציוני תרגילים למאבטח</a:t>
            </a:r>
          </a:p>
        </c:rich>
      </c:tx>
      <c:layout>
        <c:manualLayout>
          <c:xMode val="edge"/>
          <c:yMode val="edge"/>
          <c:x val="0.53528351851851863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1526675925925926"/>
          <c:y val="0.12840694444444445"/>
          <c:w val="0.31338555555555558"/>
          <c:h val="0.78346388888888896"/>
        </c:manualLayout>
      </c:layout>
      <c:pieChart>
        <c:varyColors val="1"/>
        <c:ser>
          <c:idx val="0"/>
          <c:order val="0"/>
          <c:tx>
            <c:strRef>
              <c:f>'מידע לגרפים'!$AG$17</c:f>
              <c:strCache>
                <c:ptCount val="1"/>
                <c:pt idx="0">
                  <c:v>תרגילים בשנה אחרונה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B8-45B5-BB30-9E9EFF2D35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B8-45B5-BB30-9E9EFF2D35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B8-45B5-BB30-9E9EFF2D357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B8-45B5-BB30-9E9EFF2D35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'מידע לגרפים'!$AF$18:$AF$21</c:f>
              <c:strCache>
                <c:ptCount val="4"/>
                <c:pt idx="0">
                  <c:v>טוב</c:v>
                </c:pt>
                <c:pt idx="1">
                  <c:v>לא טוב</c:v>
                </c:pt>
                <c:pt idx="2">
                  <c:v>בינוני</c:v>
                </c:pt>
                <c:pt idx="3">
                  <c:v>לימודי</c:v>
                </c:pt>
              </c:strCache>
            </c:strRef>
          </c:cat>
          <c:val>
            <c:numRef>
              <c:f>'מידע לגרפים'!$AG$18:$AG$21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B8-45B5-BB30-9E9EFF2D3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 sz="1600" b="1" i="0" u="sng" strike="noStrike" kern="1200" spc="0" baseline="0">
                <a:solidFill>
                  <a:schemeClr val="tx2"/>
                </a:solidFill>
              </a:rPr>
              <a:t>ספירת חורים / איחורים למאבטח</a:t>
            </a:r>
          </a:p>
        </c:rich>
      </c:tx>
      <c:layout>
        <c:manualLayout>
          <c:xMode val="edge"/>
          <c:yMode val="edge"/>
          <c:x val="0.47833351851851852"/>
          <c:y val="2.35185185185185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9.447092592592593E-2"/>
          <c:y val="0.18314351851851851"/>
          <c:w val="0.83536703703703707"/>
          <c:h val="0.5812481481481481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'מידע לגרפים'!$AB$34</c:f>
              <c:strCache>
                <c:ptCount val="1"/>
                <c:pt idx="0">
                  <c:v>איחורים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לגרפים'!$AA$35:$AA$46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לגרפים'!$AB$35:$AB$46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70-4514-BBC3-7EC7BACF996F}"/>
            </c:ext>
          </c:extLst>
        </c:ser>
        <c:ser>
          <c:idx val="1"/>
          <c:order val="1"/>
          <c:tx>
            <c:strRef>
              <c:f>'מידע לגרפים'!$AC$34</c:f>
              <c:strCache>
                <c:ptCount val="1"/>
                <c:pt idx="0">
                  <c:v>חורים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לגרפים'!$AA$35:$AA$46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לגרפים'!$AC$35:$AC$46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70-4514-BBC3-7EC7BACF9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4951952"/>
        <c:axId val="1104947992"/>
      </c:barChart>
      <c:dateAx>
        <c:axId val="1104951952"/>
        <c:scaling>
          <c:orientation val="maxMin"/>
        </c:scaling>
        <c:delete val="0"/>
        <c:axPos val="b"/>
        <c:numFmt formatCode="mmm\ yy\'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104947992"/>
        <c:crosses val="autoZero"/>
        <c:auto val="1"/>
        <c:lblOffset val="100"/>
        <c:baseTimeUnit val="months"/>
      </c:dateAx>
      <c:valAx>
        <c:axId val="1104947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10495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4924074074074074E-2"/>
          <c:y val="3.1750000000000007E-2"/>
          <c:w val="0.18815185185185182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 sz="1600" b="1" i="0" u="sng" strike="noStrike" kern="1200" spc="0" baseline="0">
                <a:solidFill>
                  <a:schemeClr val="tx2"/>
                </a:solidFill>
              </a:rPr>
              <a:t>ביקורות למאבטח בשנה האחרונה</a:t>
            </a:r>
          </a:p>
        </c:rich>
      </c:tx>
      <c:layout>
        <c:manualLayout>
          <c:xMode val="edge"/>
          <c:yMode val="edge"/>
          <c:x val="0.46859092592592594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10195444444444444"/>
          <c:y val="0.21916388888888891"/>
          <c:w val="0.8204001851851852"/>
          <c:h val="0.5780009259259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'מידע לגרפים'!$AB$2</c:f>
              <c:strCache>
                <c:ptCount val="1"/>
                <c:pt idx="0">
                  <c:v>מס' ביקורות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לגרפים'!$AA$3:$AA$14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לגרפים'!$AB$3:$AB$14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2E-461D-8FA9-FF6E3A606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08910648"/>
        <c:axId val="808909208"/>
      </c:barChart>
      <c:scatterChart>
        <c:scatterStyle val="lineMarker"/>
        <c:varyColors val="0"/>
        <c:ser>
          <c:idx val="1"/>
          <c:order val="1"/>
          <c:tx>
            <c:strRef>
              <c:f>'מידע לגרפים'!$AC$2</c:f>
              <c:strCache>
                <c:ptCount val="1"/>
                <c:pt idx="0">
                  <c:v>ציון ממוצע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'מידע לגרפים'!$AA$3:$AA$14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xVal>
          <c:yVal>
            <c:numRef>
              <c:f>'מידע לגרפים'!$AC$3:$AC$14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2E-461D-8FA9-FF6E3A606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910648"/>
        <c:axId val="808909208"/>
      </c:scatterChart>
      <c:dateAx>
        <c:axId val="808910648"/>
        <c:scaling>
          <c:orientation val="maxMin"/>
        </c:scaling>
        <c:delete val="0"/>
        <c:axPos val="b"/>
        <c:numFmt formatCode="mmm\ yy\'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909208"/>
        <c:crosses val="autoZero"/>
        <c:auto val="1"/>
        <c:lblOffset val="100"/>
        <c:baseTimeUnit val="months"/>
      </c:dateAx>
      <c:valAx>
        <c:axId val="808909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910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4444259259259259E-2"/>
          <c:y val="5.5268518518518522E-2"/>
          <c:w val="0.27377814814814816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 sz="1600" b="1" i="0" u="sng" strike="noStrike" kern="1200" spc="0" baseline="0">
                <a:solidFill>
                  <a:schemeClr val="tx2"/>
                </a:solidFill>
              </a:rPr>
              <a:t>ספירת חורים / איחורים למאבטח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14082538954748153"/>
          <c:y val="0.14198623402163224"/>
          <c:w val="0.80080516339917618"/>
          <c:h val="0.622406181528193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'מידע לגרפים'!$AB$34</c:f>
              <c:strCache>
                <c:ptCount val="1"/>
                <c:pt idx="0">
                  <c:v>איחורים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לגרפים'!$AA$35:$AA$46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לגרפים'!$AB$35:$AB$46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B-49E0-9E45-34587A8ABEC9}"/>
            </c:ext>
          </c:extLst>
        </c:ser>
        <c:ser>
          <c:idx val="1"/>
          <c:order val="1"/>
          <c:tx>
            <c:strRef>
              <c:f>'מידע לגרפים'!$AC$34</c:f>
              <c:strCache>
                <c:ptCount val="1"/>
                <c:pt idx="0">
                  <c:v>חורים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לגרפים'!$AA$35:$AA$46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לגרפים'!$AC$35:$AC$46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4B-49E0-9E45-34587A8AB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4951952"/>
        <c:axId val="1104947992"/>
      </c:barChart>
      <c:dateAx>
        <c:axId val="1104951952"/>
        <c:scaling>
          <c:orientation val="maxMin"/>
        </c:scaling>
        <c:delete val="0"/>
        <c:axPos val="b"/>
        <c:numFmt formatCode="mmm\ yy\'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104947992"/>
        <c:crosses val="autoZero"/>
        <c:auto val="1"/>
        <c:lblOffset val="100"/>
        <c:baseTimeUnit val="months"/>
      </c:dateAx>
      <c:valAx>
        <c:axId val="1104947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10495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 sz="1600" b="1" i="0" u="sng" strike="noStrike" kern="1200" spc="0" baseline="0">
                <a:solidFill>
                  <a:schemeClr val="tx2"/>
                </a:solidFill>
              </a:rPr>
              <a:t>ביקורות למאבטח בשנה האחרונה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'מידע לגרפים'!$AB$2</c:f>
              <c:strCache>
                <c:ptCount val="1"/>
                <c:pt idx="0">
                  <c:v>מס' ביקורות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לגרפים'!$AA$3:$AA$14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לגרפים'!$AB$3:$AB$14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3-4D3B-8547-FDC7DA6AE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08910648"/>
        <c:axId val="808909208"/>
      </c:barChart>
      <c:scatterChart>
        <c:scatterStyle val="lineMarker"/>
        <c:varyColors val="0"/>
        <c:ser>
          <c:idx val="1"/>
          <c:order val="1"/>
          <c:tx>
            <c:strRef>
              <c:f>'מידע לגרפים'!$AC$2</c:f>
              <c:strCache>
                <c:ptCount val="1"/>
                <c:pt idx="0">
                  <c:v>ציון ממוצע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'מידע לגרפים'!$AA$3:$AA$14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xVal>
          <c:yVal>
            <c:numRef>
              <c:f>'מידע לגרפים'!$AC$3:$AC$14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F3-4D3B-8547-FDC7DA6AE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910648"/>
        <c:axId val="808909208"/>
      </c:scatterChart>
      <c:dateAx>
        <c:axId val="808910648"/>
        <c:scaling>
          <c:orientation val="maxMin"/>
        </c:scaling>
        <c:delete val="0"/>
        <c:axPos val="b"/>
        <c:numFmt formatCode="mmm\ yy\'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909208"/>
        <c:crosses val="autoZero"/>
        <c:auto val="1"/>
        <c:lblOffset val="100"/>
        <c:baseTimeUnit val="months"/>
      </c:dateAx>
      <c:valAx>
        <c:axId val="808909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910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 sz="1600" b="1" i="0" u="sng" strike="noStrike" kern="1200" spc="0" baseline="0">
                <a:solidFill>
                  <a:schemeClr val="tx2"/>
                </a:solidFill>
              </a:rPr>
              <a:t>פילוח ציוני תרגילים למאבטח בשנה האחרונה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46202695473251026"/>
          <c:y val="0.40592555555555554"/>
          <c:w val="0.27324115226337448"/>
          <c:h val="0.49183407407407409"/>
        </c:manualLayout>
      </c:layout>
      <c:pieChart>
        <c:varyColors val="1"/>
        <c:ser>
          <c:idx val="0"/>
          <c:order val="0"/>
          <c:tx>
            <c:strRef>
              <c:f>'מידע לגרפים'!$AG$2</c:f>
              <c:strCache>
                <c:ptCount val="1"/>
                <c:pt idx="0">
                  <c:v>ביקורות בשנה אחרונה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2E2-4719-927F-2B2A4CF7F9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2E2-4719-927F-2B2A4CF7F92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2E2-4719-927F-2B2A4CF7F92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2E2-4719-927F-2B2A4CF7F92F}"/>
              </c:ext>
            </c:extLst>
          </c:dPt>
          <c:dLbls>
            <c:dLbl>
              <c:idx val="0"/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E2-4719-927F-2B2A4CF7F92F}"/>
                </c:ext>
              </c:extLst>
            </c:dLbl>
            <c:dLbl>
              <c:idx val="1"/>
              <c:layout>
                <c:manualLayout>
                  <c:x val="0.14372427983539093"/>
                  <c:y val="3.762962962962958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E2-4719-927F-2B2A4CF7F92F}"/>
                </c:ext>
              </c:extLst>
            </c:dLbl>
            <c:dLbl>
              <c:idx val="2"/>
              <c:layout>
                <c:manualLayout>
                  <c:x val="-0.16462962962962968"/>
                  <c:y val="2.351851851851851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2E2-4719-927F-2B2A4CF7F92F}"/>
                </c:ext>
              </c:extLst>
            </c:dLbl>
            <c:dLbl>
              <c:idx val="3"/>
              <c:layout>
                <c:manualLayout>
                  <c:x val="3.9197530864197437E-2"/>
                  <c:y val="-8.937037037037036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E2-4719-927F-2B2A4CF7F9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'מידע לגרפים'!$AF$3:$AF$6</c:f>
              <c:strCache>
                <c:ptCount val="4"/>
                <c:pt idx="0">
                  <c:v>חיובית</c:v>
                </c:pt>
                <c:pt idx="1">
                  <c:v>שלילית</c:v>
                </c:pt>
                <c:pt idx="2">
                  <c:v>בינונית</c:v>
                </c:pt>
                <c:pt idx="3">
                  <c:v>בקרה</c:v>
                </c:pt>
              </c:strCache>
            </c:strRef>
          </c:cat>
          <c:val>
            <c:numRef>
              <c:f>'מידע לגרפים'!$AG$3:$AG$6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2E2-4719-927F-2B2A4CF7F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 sz="1600" b="1" u="sng">
                <a:solidFill>
                  <a:schemeClr val="tx2"/>
                </a:solidFill>
              </a:rPr>
              <a:t>תרגילים למאבטח בשנה האחרונה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17805284412491423"/>
          <c:y val="0.16980370370370371"/>
          <c:w val="0.74660180985983726"/>
          <c:h val="0.647238888888888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'מידע לגרפים'!$AB$17</c:f>
              <c:strCache>
                <c:ptCount val="1"/>
                <c:pt idx="0">
                  <c:v>מס' תרגילים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solidFill>
                <a:schemeClr val="bg1">
                  <a:lumMod val="95000"/>
                  <a:alpha val="1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לגרפים'!$AA$18:$AA$29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לגרפים'!$AB$18:$AB$29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99-4BE3-9817-3429475EF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08910648"/>
        <c:axId val="808909208"/>
      </c:barChart>
      <c:scatterChart>
        <c:scatterStyle val="lineMarker"/>
        <c:varyColors val="0"/>
        <c:ser>
          <c:idx val="1"/>
          <c:order val="1"/>
          <c:tx>
            <c:strRef>
              <c:f>'מידע לגרפים'!$AC$17</c:f>
              <c:strCache>
                <c:ptCount val="1"/>
                <c:pt idx="0">
                  <c:v>ציון ממוצע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'מידע לגרפים'!$AA$18:$AA$29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xVal>
          <c:yVal>
            <c:numRef>
              <c:f>'מידע לגרפים'!$AC$18:$AC$29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99-4BE3-9817-3429475EF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910648"/>
        <c:axId val="808909208"/>
      </c:scatterChart>
      <c:dateAx>
        <c:axId val="808910648"/>
        <c:scaling>
          <c:orientation val="maxMin"/>
        </c:scaling>
        <c:delete val="0"/>
        <c:axPos val="b"/>
        <c:numFmt formatCode="mmm\ yy\'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909208"/>
        <c:crosses val="autoZero"/>
        <c:auto val="1"/>
        <c:lblOffset val="100"/>
        <c:baseTimeUnit val="months"/>
      </c:dateAx>
      <c:valAx>
        <c:axId val="808909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910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 sz="1600" b="1" u="sng">
                <a:solidFill>
                  <a:schemeClr val="tx2"/>
                </a:solidFill>
              </a:rPr>
              <a:t>פילוח ציוני תרגילים למאבטח</a:t>
            </a:r>
            <a:r>
              <a:rPr lang="he-IL" sz="1600" b="1" u="sng" baseline="0">
                <a:solidFill>
                  <a:schemeClr val="tx2"/>
                </a:solidFill>
              </a:rPr>
              <a:t> בשנה האחרונה</a:t>
            </a:r>
            <a:endParaRPr lang="he-IL" sz="1600" b="1" u="sng">
              <a:solidFill>
                <a:schemeClr val="tx2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4443430388475577"/>
          <c:y val="0.26951808107319924"/>
          <c:w val="0.45407458803679063"/>
          <c:h val="0.61883420822397195"/>
        </c:manualLayout>
      </c:layout>
      <c:pieChart>
        <c:varyColors val="1"/>
        <c:ser>
          <c:idx val="0"/>
          <c:order val="0"/>
          <c:tx>
            <c:strRef>
              <c:f>'מידע לגרפים'!$AG$17</c:f>
              <c:strCache>
                <c:ptCount val="1"/>
                <c:pt idx="0">
                  <c:v>תרגילים בשנה אחרונה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D-46B0-9016-0296F8F0FB7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AD-46B0-9016-0296F8F0FB7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AD-46B0-9016-0296F8F0FB7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AD-46B0-9016-0296F8F0FB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'מידע לגרפים'!$AF$18:$AF$21</c:f>
              <c:strCache>
                <c:ptCount val="4"/>
                <c:pt idx="0">
                  <c:v>טוב</c:v>
                </c:pt>
                <c:pt idx="1">
                  <c:v>לא טוב</c:v>
                </c:pt>
                <c:pt idx="2">
                  <c:v>בינוני</c:v>
                </c:pt>
                <c:pt idx="3">
                  <c:v>לימודי</c:v>
                </c:pt>
              </c:strCache>
            </c:strRef>
          </c:cat>
          <c:val>
            <c:numRef>
              <c:f>'מידע לגרפים'!$AG$18:$AG$21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AD-46B0-9016-0296F8F0F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 b="1" u="sng"/>
              <a:t>עמדות שליטה</a:t>
            </a:r>
          </a:p>
        </c:rich>
      </c:tx>
      <c:layout>
        <c:manualLayout>
          <c:xMode val="edge"/>
          <c:yMode val="edge"/>
          <c:x val="0.56361171218158523"/>
          <c:y val="6.15307286653461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6.1000805331084394E-2"/>
          <c:y val="6.2080500778877695E-2"/>
          <c:w val="0.47708081134686886"/>
          <c:h val="0.86853208473615062"/>
        </c:manualLayout>
      </c:layout>
      <c:pieChart>
        <c:varyColors val="1"/>
        <c:ser>
          <c:idx val="0"/>
          <c:order val="0"/>
          <c:tx>
            <c:strRef>
              <c:f>'מידע לגרפים'!$O$2</c:f>
              <c:strCache>
                <c:ptCount val="1"/>
                <c:pt idx="0">
                  <c:v>ע.שליטה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E-49AA-94BE-BE54C130ED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E-49AA-94BE-BE54C130ED1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E-49AA-94BE-BE54C130ED1C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'מידע לגרפים'!$N$3:$N$5</c:f>
              <c:strCache>
                <c:ptCount val="3"/>
                <c:pt idx="0">
                  <c:v>מוסמכים ומורשים</c:v>
                </c:pt>
                <c:pt idx="1">
                  <c:v>מוסמכים ולא מורשים</c:v>
                </c:pt>
                <c:pt idx="2">
                  <c:v>לא מוסמכים</c:v>
                </c:pt>
              </c:strCache>
            </c:strRef>
          </c:cat>
          <c:val>
            <c:numRef>
              <c:f>'מידע לגרפים'!$O$3:$O$5</c:f>
              <c:numCache>
                <c:formatCode>General</c:formatCode>
                <c:ptCount val="3"/>
                <c:pt idx="0">
                  <c:v>37</c:v>
                </c:pt>
                <c:pt idx="1">
                  <c:v>0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BE-49AA-94BE-BE54C130E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425476780848602"/>
          <c:y val="0.32677777937302138"/>
          <c:w val="0.41336429945095632"/>
          <c:h val="0.43875221639160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 b="1" u="sng"/>
              <a:t>חובשים</a:t>
            </a:r>
          </a:p>
        </c:rich>
      </c:tx>
      <c:layout>
        <c:manualLayout>
          <c:xMode val="edge"/>
          <c:yMode val="edge"/>
          <c:x val="0.56361171218158523"/>
          <c:y val="6.15307286653461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6.1000805331084394E-2"/>
          <c:y val="6.2080500778877695E-2"/>
          <c:w val="0.47708081134686886"/>
          <c:h val="0.86853208473615062"/>
        </c:manualLayout>
      </c:layout>
      <c:pieChart>
        <c:varyColors val="1"/>
        <c:ser>
          <c:idx val="0"/>
          <c:order val="0"/>
          <c:tx>
            <c:strRef>
              <c:f>'מידע לגרפים'!$O$8</c:f>
              <c:strCache>
                <c:ptCount val="1"/>
                <c:pt idx="0">
                  <c:v>חובשים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88-436E-B1BB-7CDF95C0B2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88-436E-B1BB-7CDF95C0B29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'מידע לגרפים'!$N$9:$N$10</c:f>
              <c:strCache>
                <c:ptCount val="2"/>
                <c:pt idx="0">
                  <c:v>לא חובשים</c:v>
                </c:pt>
                <c:pt idx="1">
                  <c:v>חובשים</c:v>
                </c:pt>
              </c:strCache>
            </c:strRef>
          </c:cat>
          <c:val>
            <c:numRef>
              <c:f>'מידע לגרפים'!$O$9:$O$10</c:f>
              <c:numCache>
                <c:formatCode>General</c:formatCode>
                <c:ptCount val="2"/>
                <c:pt idx="0">
                  <c:v>45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88-436E-B1BB-7CDF95C0B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187379757262947"/>
          <c:y val="0.44477220613867208"/>
          <c:w val="0.33717385182832699"/>
          <c:h val="0.285360170357624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 b="1" u="sng"/>
              <a:t>תפקידים</a:t>
            </a:r>
          </a:p>
        </c:rich>
      </c:tx>
      <c:layout>
        <c:manualLayout>
          <c:xMode val="edge"/>
          <c:yMode val="edge"/>
          <c:x val="0.56361159967866503"/>
          <c:y val="1.7086614173228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18128778793784039"/>
          <c:y val="0.20942716159227198"/>
          <c:w val="0.29427965572377957"/>
          <c:h val="0.71293240546131076"/>
        </c:manualLayout>
      </c:layout>
      <c:pieChart>
        <c:varyColors val="1"/>
        <c:ser>
          <c:idx val="0"/>
          <c:order val="0"/>
          <c:tx>
            <c:strRef>
              <c:f>'מידע לגרפים'!$O$13</c:f>
              <c:strCache>
                <c:ptCount val="1"/>
                <c:pt idx="0">
                  <c:v>תפקידים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BFC-4717-99F5-236075EEB67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FC-4717-99F5-236075EEB67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E4-41A3-BC1B-653ABC2EC0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EE4-41A3-BC1B-653ABC2EC0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E4-41A3-BC1B-653ABC2EC0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EE4-41A3-BC1B-653ABC2EC0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941-4089-AF3F-4196930126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'מידע לגרפים'!$N$14:$N$20</c:f>
              <c:strCache>
                <c:ptCount val="7"/>
                <c:pt idx="0">
                  <c:v>מאבטח</c:v>
                </c:pt>
                <c:pt idx="1">
                  <c:v>ראנד</c:v>
                </c:pt>
                <c:pt idx="2">
                  <c:v>ראש צוות</c:v>
                </c:pt>
                <c:pt idx="3">
                  <c:v>מוקד</c:v>
                </c:pt>
                <c:pt idx="4">
                  <c:v>אחמש</c:v>
                </c:pt>
                <c:pt idx="5">
                  <c:v>אחר</c:v>
                </c:pt>
                <c:pt idx="6">
                  <c:v>נהג</c:v>
                </c:pt>
              </c:strCache>
            </c:strRef>
          </c:cat>
          <c:val>
            <c:numRef>
              <c:f>'מידע לגרפים'!$O$14:$O$20</c:f>
              <c:numCache>
                <c:formatCode>General</c:formatCode>
                <c:ptCount val="7"/>
                <c:pt idx="0">
                  <c:v>38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FC-4717-99F5-236075EEB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.65476210934949042"/>
          <c:y val="0.28041469816272968"/>
          <c:w val="0.19371647097752498"/>
          <c:h val="0.66250393700787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 sz="1600" b="1" u="sng">
                <a:solidFill>
                  <a:schemeClr val="tx2"/>
                </a:solidFill>
                <a:latin typeface="+mn-lt"/>
              </a:rPr>
              <a:t>מצב כללי מעבר בחני שטח</a:t>
            </a:r>
            <a:br>
              <a:rPr lang="en-US" sz="1600" b="1" u="sng">
                <a:solidFill>
                  <a:schemeClr val="tx2"/>
                </a:solidFill>
                <a:latin typeface="+mn-lt"/>
              </a:rPr>
            </a:br>
            <a:r>
              <a:rPr lang="he-IL" sz="1400" b="0" u="none">
                <a:solidFill>
                  <a:schemeClr val="tx2"/>
                </a:solidFill>
                <a:latin typeface="+mn-lt"/>
              </a:rPr>
              <a:t>(לא עברו: נכשלו / לא ניגשו)</a:t>
            </a:r>
            <a:endParaRPr lang="he-IL" sz="1600" b="0" u="none">
              <a:solidFill>
                <a:schemeClr val="tx2"/>
              </a:solidFill>
              <a:latin typeface="+mn-lt"/>
            </a:endParaRPr>
          </a:p>
        </c:rich>
      </c:tx>
      <c:layout>
        <c:manualLayout>
          <c:xMode val="edge"/>
          <c:yMode val="edge"/>
          <c:x val="0.25165413330277642"/>
          <c:y val="4.74198047419804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49235942091221196"/>
          <c:y val="0.41966771254633817"/>
          <c:w val="0.35239268934056228"/>
          <c:h val="0.5114960843952253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836-4889-8033-59C5BFBB6C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36-4889-8033-59C5BFBB6C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36-4889-8033-59C5BFBB6CF7}"/>
              </c:ext>
            </c:extLst>
          </c:dPt>
          <c:dLbls>
            <c:dLbl>
              <c:idx val="1"/>
              <c:layout>
                <c:manualLayout>
                  <c:x val="-7.7777008702945051E-3"/>
                  <c:y val="3.122729956836954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>
                        <a:glow rad="101600">
                          <a:schemeClr val="bg1">
                            <a:alpha val="60000"/>
                          </a:schemeClr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he-IL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2131191341087356"/>
                      <c:h val="0.174967604287247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836-4889-8033-59C5BFBB6CF7}"/>
                </c:ext>
              </c:extLst>
            </c:dLbl>
            <c:dLbl>
              <c:idx val="2"/>
              <c:layout>
                <c:manualLayout>
                  <c:x val="0.10777976473676439"/>
                  <c:y val="8.5397559249587168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>
                        <a:glow rad="101600">
                          <a:schemeClr val="bg1">
                            <a:alpha val="60000"/>
                          </a:schemeClr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he-IL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2759221375696364"/>
                      <c:h val="0.2060103713146214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836-4889-8033-59C5BFBB6C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'סיכום - בחני שטח'!$J$4:$J$7</c15:sqref>
                  </c15:fullRef>
                </c:ext>
              </c:extLst>
              <c:f>'סיכום - בחני שטח'!$J$4:$J$6</c:f>
              <c:strCache>
                <c:ptCount val="3"/>
                <c:pt idx="0">
                  <c:v>עברו</c:v>
                </c:pt>
                <c:pt idx="1">
                  <c:v>לא עברו, מעל חודש</c:v>
                </c:pt>
                <c:pt idx="2">
                  <c:v>לא עברו, פחות מחודש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'סיכום - בחני שטח'!$K$4:$K$7</c15:sqref>
                  </c15:fullRef>
                </c:ext>
              </c:extLst>
              <c:f>'סיכום - בחני שטח'!$K$4:$K$6</c:f>
              <c:numCache>
                <c:formatCode>General</c:formatCode>
                <c:ptCount val="3"/>
                <c:pt idx="0">
                  <c:v>2</c:v>
                </c:pt>
                <c:pt idx="1">
                  <c:v>46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'סיכום - בחני שטח'!$K$7</c15:sqref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8836-4889-8033-59C5BFBB6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 sz="1600" b="1" u="sng">
                <a:solidFill>
                  <a:schemeClr val="tx2"/>
                </a:solidFill>
              </a:rPr>
              <a:t>ספירת</a:t>
            </a:r>
            <a:r>
              <a:rPr lang="he-IL" sz="1600" b="1" u="sng" baseline="0">
                <a:solidFill>
                  <a:schemeClr val="tx2"/>
                </a:solidFill>
              </a:rPr>
              <a:t> חורים / איחורים לפי שבוע</a:t>
            </a:r>
            <a:endParaRPr lang="he-IL" sz="1600" b="1" u="sng">
              <a:solidFill>
                <a:schemeClr val="tx2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'מידע לגרפים'!$E$34</c:f>
              <c:strCache>
                <c:ptCount val="1"/>
                <c:pt idx="0">
                  <c:v>איחורים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'מידע לגרפים'!$D$35:$D$87</c:f>
              <c:strCache>
                <c:ptCount val="53"/>
                <c:pt idx="0">
                  <c:v>39, 2024</c:v>
                </c:pt>
                <c:pt idx="1">
                  <c:v>38, 2024</c:v>
                </c:pt>
                <c:pt idx="2">
                  <c:v>37, 2024</c:v>
                </c:pt>
                <c:pt idx="3">
                  <c:v>36, 2024</c:v>
                </c:pt>
                <c:pt idx="4">
                  <c:v>35, 2024</c:v>
                </c:pt>
                <c:pt idx="5">
                  <c:v>34, 2024</c:v>
                </c:pt>
                <c:pt idx="6">
                  <c:v>33, 2024</c:v>
                </c:pt>
                <c:pt idx="7">
                  <c:v>32, 2024</c:v>
                </c:pt>
                <c:pt idx="8">
                  <c:v>31, 2024</c:v>
                </c:pt>
                <c:pt idx="9">
                  <c:v>30, 2024</c:v>
                </c:pt>
                <c:pt idx="10">
                  <c:v>29, 2024</c:v>
                </c:pt>
                <c:pt idx="11">
                  <c:v>28, 2024</c:v>
                </c:pt>
                <c:pt idx="12">
                  <c:v>27, 2024</c:v>
                </c:pt>
                <c:pt idx="13">
                  <c:v>26, 2024</c:v>
                </c:pt>
                <c:pt idx="14">
                  <c:v>25, 2024</c:v>
                </c:pt>
                <c:pt idx="15">
                  <c:v>24, 2024</c:v>
                </c:pt>
                <c:pt idx="16">
                  <c:v>23, 2024</c:v>
                </c:pt>
                <c:pt idx="17">
                  <c:v>22, 2024</c:v>
                </c:pt>
                <c:pt idx="18">
                  <c:v>21, 2024</c:v>
                </c:pt>
                <c:pt idx="19">
                  <c:v>20, 2024</c:v>
                </c:pt>
                <c:pt idx="20">
                  <c:v>19, 2024</c:v>
                </c:pt>
                <c:pt idx="21">
                  <c:v>18, 2024</c:v>
                </c:pt>
                <c:pt idx="22">
                  <c:v>17, 2024</c:v>
                </c:pt>
                <c:pt idx="23">
                  <c:v>16, 2024</c:v>
                </c:pt>
                <c:pt idx="24">
                  <c:v>15, 2024</c:v>
                </c:pt>
                <c:pt idx="25">
                  <c:v>14, 2024</c:v>
                </c:pt>
                <c:pt idx="26">
                  <c:v>13, 2024</c:v>
                </c:pt>
                <c:pt idx="27">
                  <c:v>12, 2024</c:v>
                </c:pt>
                <c:pt idx="28">
                  <c:v>11, 2024</c:v>
                </c:pt>
                <c:pt idx="29">
                  <c:v>10, 2024</c:v>
                </c:pt>
                <c:pt idx="30">
                  <c:v>9, 2024</c:v>
                </c:pt>
                <c:pt idx="31">
                  <c:v>8, 2024</c:v>
                </c:pt>
                <c:pt idx="32">
                  <c:v>7, 2024</c:v>
                </c:pt>
                <c:pt idx="33">
                  <c:v>6, 2024</c:v>
                </c:pt>
                <c:pt idx="34">
                  <c:v>5, 2024</c:v>
                </c:pt>
                <c:pt idx="35">
                  <c:v>4, 2024</c:v>
                </c:pt>
                <c:pt idx="36">
                  <c:v>3, 2024</c:v>
                </c:pt>
                <c:pt idx="37">
                  <c:v>2, 2024</c:v>
                </c:pt>
                <c:pt idx="38">
                  <c:v>1, 2024</c:v>
                </c:pt>
                <c:pt idx="39">
                  <c:v>52, 2023</c:v>
                </c:pt>
                <c:pt idx="40">
                  <c:v>51, 2023</c:v>
                </c:pt>
                <c:pt idx="41">
                  <c:v>50, 2023</c:v>
                </c:pt>
                <c:pt idx="42">
                  <c:v>49, 2023</c:v>
                </c:pt>
                <c:pt idx="43">
                  <c:v>48, 2023</c:v>
                </c:pt>
                <c:pt idx="44">
                  <c:v>47, 2023</c:v>
                </c:pt>
                <c:pt idx="45">
                  <c:v>46, 2023</c:v>
                </c:pt>
                <c:pt idx="46">
                  <c:v>45, 2023</c:v>
                </c:pt>
                <c:pt idx="47">
                  <c:v>44, 2023</c:v>
                </c:pt>
                <c:pt idx="48">
                  <c:v>43, 2023</c:v>
                </c:pt>
                <c:pt idx="49">
                  <c:v>42, 2023</c:v>
                </c:pt>
                <c:pt idx="50">
                  <c:v>41, 2023</c:v>
                </c:pt>
                <c:pt idx="51">
                  <c:v>40, 2023</c:v>
                </c:pt>
                <c:pt idx="52">
                  <c:v>39, 2023</c:v>
                </c:pt>
              </c:strCache>
            </c:strRef>
          </c:cat>
          <c:val>
            <c:numRef>
              <c:f>'מידע לגרפים'!$E$35:$E$87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C-403A-8EC4-50C6222A8232}"/>
            </c:ext>
          </c:extLst>
        </c:ser>
        <c:ser>
          <c:idx val="1"/>
          <c:order val="1"/>
          <c:tx>
            <c:strRef>
              <c:f>'מידע לגרפים'!$F$34</c:f>
              <c:strCache>
                <c:ptCount val="1"/>
                <c:pt idx="0">
                  <c:v>חורים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'מידע לגרפים'!$D$35:$D$87</c:f>
              <c:strCache>
                <c:ptCount val="53"/>
                <c:pt idx="0">
                  <c:v>39, 2024</c:v>
                </c:pt>
                <c:pt idx="1">
                  <c:v>38, 2024</c:v>
                </c:pt>
                <c:pt idx="2">
                  <c:v>37, 2024</c:v>
                </c:pt>
                <c:pt idx="3">
                  <c:v>36, 2024</c:v>
                </c:pt>
                <c:pt idx="4">
                  <c:v>35, 2024</c:v>
                </c:pt>
                <c:pt idx="5">
                  <c:v>34, 2024</c:v>
                </c:pt>
                <c:pt idx="6">
                  <c:v>33, 2024</c:v>
                </c:pt>
                <c:pt idx="7">
                  <c:v>32, 2024</c:v>
                </c:pt>
                <c:pt idx="8">
                  <c:v>31, 2024</c:v>
                </c:pt>
                <c:pt idx="9">
                  <c:v>30, 2024</c:v>
                </c:pt>
                <c:pt idx="10">
                  <c:v>29, 2024</c:v>
                </c:pt>
                <c:pt idx="11">
                  <c:v>28, 2024</c:v>
                </c:pt>
                <c:pt idx="12">
                  <c:v>27, 2024</c:v>
                </c:pt>
                <c:pt idx="13">
                  <c:v>26, 2024</c:v>
                </c:pt>
                <c:pt idx="14">
                  <c:v>25, 2024</c:v>
                </c:pt>
                <c:pt idx="15">
                  <c:v>24, 2024</c:v>
                </c:pt>
                <c:pt idx="16">
                  <c:v>23, 2024</c:v>
                </c:pt>
                <c:pt idx="17">
                  <c:v>22, 2024</c:v>
                </c:pt>
                <c:pt idx="18">
                  <c:v>21, 2024</c:v>
                </c:pt>
                <c:pt idx="19">
                  <c:v>20, 2024</c:v>
                </c:pt>
                <c:pt idx="20">
                  <c:v>19, 2024</c:v>
                </c:pt>
                <c:pt idx="21">
                  <c:v>18, 2024</c:v>
                </c:pt>
                <c:pt idx="22">
                  <c:v>17, 2024</c:v>
                </c:pt>
                <c:pt idx="23">
                  <c:v>16, 2024</c:v>
                </c:pt>
                <c:pt idx="24">
                  <c:v>15, 2024</c:v>
                </c:pt>
                <c:pt idx="25">
                  <c:v>14, 2024</c:v>
                </c:pt>
                <c:pt idx="26">
                  <c:v>13, 2024</c:v>
                </c:pt>
                <c:pt idx="27">
                  <c:v>12, 2024</c:v>
                </c:pt>
                <c:pt idx="28">
                  <c:v>11, 2024</c:v>
                </c:pt>
                <c:pt idx="29">
                  <c:v>10, 2024</c:v>
                </c:pt>
                <c:pt idx="30">
                  <c:v>9, 2024</c:v>
                </c:pt>
                <c:pt idx="31">
                  <c:v>8, 2024</c:v>
                </c:pt>
                <c:pt idx="32">
                  <c:v>7, 2024</c:v>
                </c:pt>
                <c:pt idx="33">
                  <c:v>6, 2024</c:v>
                </c:pt>
                <c:pt idx="34">
                  <c:v>5, 2024</c:v>
                </c:pt>
                <c:pt idx="35">
                  <c:v>4, 2024</c:v>
                </c:pt>
                <c:pt idx="36">
                  <c:v>3, 2024</c:v>
                </c:pt>
                <c:pt idx="37">
                  <c:v>2, 2024</c:v>
                </c:pt>
                <c:pt idx="38">
                  <c:v>1, 2024</c:v>
                </c:pt>
                <c:pt idx="39">
                  <c:v>52, 2023</c:v>
                </c:pt>
                <c:pt idx="40">
                  <c:v>51, 2023</c:v>
                </c:pt>
                <c:pt idx="41">
                  <c:v>50, 2023</c:v>
                </c:pt>
                <c:pt idx="42">
                  <c:v>49, 2023</c:v>
                </c:pt>
                <c:pt idx="43">
                  <c:v>48, 2023</c:v>
                </c:pt>
                <c:pt idx="44">
                  <c:v>47, 2023</c:v>
                </c:pt>
                <c:pt idx="45">
                  <c:v>46, 2023</c:v>
                </c:pt>
                <c:pt idx="46">
                  <c:v>45, 2023</c:v>
                </c:pt>
                <c:pt idx="47">
                  <c:v>44, 2023</c:v>
                </c:pt>
                <c:pt idx="48">
                  <c:v>43, 2023</c:v>
                </c:pt>
                <c:pt idx="49">
                  <c:v>42, 2023</c:v>
                </c:pt>
                <c:pt idx="50">
                  <c:v>41, 2023</c:v>
                </c:pt>
                <c:pt idx="51">
                  <c:v>40, 2023</c:v>
                </c:pt>
                <c:pt idx="52">
                  <c:v>39, 2023</c:v>
                </c:pt>
              </c:strCache>
            </c:strRef>
          </c:cat>
          <c:val>
            <c:numRef>
              <c:f>'מידע לגרפים'!$F$35:$F$87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AC-403A-8EC4-50C6222A8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08871408"/>
        <c:axId val="808866728"/>
      </c:barChart>
      <c:catAx>
        <c:axId val="808871408"/>
        <c:scaling>
          <c:orientation val="maxMin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866728"/>
        <c:crosses val="autoZero"/>
        <c:auto val="1"/>
        <c:lblAlgn val="ctr"/>
        <c:lblOffset val="100"/>
        <c:noMultiLvlLbl val="0"/>
      </c:catAx>
      <c:valAx>
        <c:axId val="808866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8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rtl="0"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1">
              <a:defRPr lang="he-IL"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/>
              <a:t>פילוח ציוני ביקורות בשנה האחרונה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1">
            <a:defRPr lang="he-IL"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7854232187634418"/>
          <c:y val="0.31527777777777777"/>
          <c:w val="0.57130943137192414"/>
          <c:h val="0.63379629629629641"/>
        </c:manualLayout>
      </c:layout>
      <c:pieChart>
        <c:varyColors val="1"/>
        <c:ser>
          <c:idx val="0"/>
          <c:order val="0"/>
          <c:tx>
            <c:strRef>
              <c:f>'מידע לגרפים'!$K$2</c:f>
              <c:strCache>
                <c:ptCount val="1"/>
                <c:pt idx="0">
                  <c:v>ביקורות בשנה אחרונה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14-4A48-B1C5-DA2BCC4FFF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114-4A48-B1C5-DA2BCC4FFFD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114-4A48-B1C5-DA2BCC4FFFD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114-4A48-B1C5-DA2BCC4FFFD8}"/>
              </c:ext>
            </c:extLst>
          </c:dPt>
          <c:dLbls>
            <c:dLbl>
              <c:idx val="2"/>
              <c:layout>
                <c:manualLayout>
                  <c:x val="-0.15581369443129142"/>
                  <c:y val="3.0989355497229513E-3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14-4A48-B1C5-DA2BCC4FFFD8}"/>
                </c:ext>
              </c:extLst>
            </c:dLbl>
            <c:dLbl>
              <c:idx val="3"/>
              <c:layout>
                <c:manualLayout>
                  <c:x val="0.12766373437231474"/>
                  <c:y val="-1.1930227471566053E-2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14-4A48-B1C5-DA2BCC4FFF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900" b="1" i="0" u="none" strike="noStrike" kern="1200" baseline="0">
                    <a:solidFill>
                      <a:schemeClr val="tx1"/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'מידע לגרפים'!$J$3:$J$6</c:f>
              <c:strCache>
                <c:ptCount val="4"/>
                <c:pt idx="0">
                  <c:v>חיובית</c:v>
                </c:pt>
                <c:pt idx="1">
                  <c:v>שלילית</c:v>
                </c:pt>
                <c:pt idx="2">
                  <c:v>בינונית</c:v>
                </c:pt>
                <c:pt idx="3">
                  <c:v>בקרה</c:v>
                </c:pt>
              </c:strCache>
            </c:strRef>
          </c:cat>
          <c:val>
            <c:numRef>
              <c:f>'מידע לגרפים'!$K$3:$K$6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114-4A48-B1C5-DA2BCC4FF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1">
              <a:defRPr lang="he-IL"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/>
              <a:t>מס' ביקורות</a:t>
            </a:r>
            <a:r>
              <a:rPr lang="he-IL" baseline="0"/>
              <a:t> שבוצעו בשנה האחרונה</a:t>
            </a:r>
            <a:endParaRPr lang="he-I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1">
            <a:defRPr lang="he-IL"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'מידע לגרפים'!$E$2</c:f>
              <c:strCache>
                <c:ptCount val="1"/>
                <c:pt idx="0">
                  <c:v>חיובית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לגרפים'!$D$3:$D$14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לגרפים'!$E$3:$E$14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E-4BC9-AC92-8D871BF9E110}"/>
            </c:ext>
          </c:extLst>
        </c:ser>
        <c:ser>
          <c:idx val="1"/>
          <c:order val="1"/>
          <c:tx>
            <c:strRef>
              <c:f>'מידע לגרפים'!$F$2</c:f>
              <c:strCache>
                <c:ptCount val="1"/>
                <c:pt idx="0">
                  <c:v>שלילית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לגרפים'!$D$3:$D$14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לגרפים'!$F$3:$F$14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E-4BC9-AC92-8D871BF9E110}"/>
            </c:ext>
          </c:extLst>
        </c:ser>
        <c:ser>
          <c:idx val="2"/>
          <c:order val="2"/>
          <c:tx>
            <c:strRef>
              <c:f>'מידע לגרפים'!$G$2</c:f>
              <c:strCache>
                <c:ptCount val="1"/>
                <c:pt idx="0">
                  <c:v>בינונית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0"/>
              <c:numFmt formatCode="#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>
                        <a:glow rad="101600">
                          <a:schemeClr val="bg1">
                            <a:alpha val="60000"/>
                          </a:schemeClr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he-I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5DE-4BC9-AC92-8D871BF9E110}"/>
                </c:ext>
              </c:extLst>
            </c:dLbl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לגרפים'!$D$3:$D$14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לגרפים'!$G$3:$G$14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DE-4BC9-AC92-8D871BF9E110}"/>
            </c:ext>
          </c:extLst>
        </c:ser>
        <c:ser>
          <c:idx val="3"/>
          <c:order val="3"/>
          <c:tx>
            <c:strRef>
              <c:f>'מידע לגרפים'!$H$2</c:f>
              <c:strCache>
                <c:ptCount val="1"/>
                <c:pt idx="0">
                  <c:v>בקרה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לגרפים'!$D$3:$D$14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לגרפים'!$H$3:$H$14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DE-4BC9-AC92-8D871BF9E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08883648"/>
        <c:axId val="808892288"/>
      </c:barChart>
      <c:dateAx>
        <c:axId val="808883648"/>
        <c:scaling>
          <c:orientation val="maxMin"/>
        </c:scaling>
        <c:delete val="0"/>
        <c:axPos val="b"/>
        <c:numFmt formatCode="mmm\ yy\'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892288"/>
        <c:crosses val="autoZero"/>
        <c:auto val="1"/>
        <c:lblOffset val="100"/>
        <c:baseTimeUnit val="months"/>
      </c:dateAx>
      <c:valAx>
        <c:axId val="808892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88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1">
              <a:defRPr lang="he-IL"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rPr>
              <a:t>מס' תרגילים שבוצעו בשנה האחרונה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1">
            <a:defRPr lang="he-IL"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'מידע לגרפים'!$E$17</c:f>
              <c:strCache>
                <c:ptCount val="1"/>
                <c:pt idx="0">
                  <c:v>טוב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לגרפים'!$D$18:$D$29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לגרפים'!$E$18:$E$29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028-A8AA-A900B3CBF293}"/>
            </c:ext>
          </c:extLst>
        </c:ser>
        <c:ser>
          <c:idx val="1"/>
          <c:order val="1"/>
          <c:tx>
            <c:strRef>
              <c:f>'מידע לגרפים'!$F$17</c:f>
              <c:strCache>
                <c:ptCount val="1"/>
                <c:pt idx="0">
                  <c:v>לא טוב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לגרפים'!$D$18:$D$29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לגרפים'!$F$18:$F$29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028-A8AA-A900B3CBF293}"/>
            </c:ext>
          </c:extLst>
        </c:ser>
        <c:ser>
          <c:idx val="2"/>
          <c:order val="2"/>
          <c:tx>
            <c:strRef>
              <c:f>'מידע לגרפים'!$G$17</c:f>
              <c:strCache>
                <c:ptCount val="1"/>
                <c:pt idx="0">
                  <c:v>בינוני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לגרפים'!$D$18:$D$29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לגרפים'!$G$18:$G$29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028-A8AA-A900B3CBF293}"/>
            </c:ext>
          </c:extLst>
        </c:ser>
        <c:ser>
          <c:idx val="3"/>
          <c:order val="3"/>
          <c:tx>
            <c:strRef>
              <c:f>'מידע לגרפים'!$H$17</c:f>
              <c:strCache>
                <c:ptCount val="1"/>
                <c:pt idx="0">
                  <c:v>לימודי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'מידע לגרפים'!$D$18:$D$29</c:f>
              <c:numCache>
                <c:formatCode>mmm\ yy\'</c:formatCode>
                <c:ptCount val="12"/>
                <c:pt idx="0">
                  <c:v>45536</c:v>
                </c:pt>
                <c:pt idx="1">
                  <c:v>45505</c:v>
                </c:pt>
                <c:pt idx="2">
                  <c:v>45474</c:v>
                </c:pt>
                <c:pt idx="3">
                  <c:v>45444</c:v>
                </c:pt>
                <c:pt idx="4">
                  <c:v>45413</c:v>
                </c:pt>
                <c:pt idx="5">
                  <c:v>45383</c:v>
                </c:pt>
                <c:pt idx="6">
                  <c:v>45352</c:v>
                </c:pt>
                <c:pt idx="7">
                  <c:v>45323</c:v>
                </c:pt>
                <c:pt idx="8">
                  <c:v>45292</c:v>
                </c:pt>
                <c:pt idx="9">
                  <c:v>45261</c:v>
                </c:pt>
                <c:pt idx="10">
                  <c:v>45231</c:v>
                </c:pt>
                <c:pt idx="11">
                  <c:v>45200</c:v>
                </c:pt>
              </c:numCache>
            </c:numRef>
          </c:cat>
          <c:val>
            <c:numRef>
              <c:f>'מידע לגרפים'!$H$18:$H$29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028-A8AA-A900B3CBF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08863128"/>
        <c:axId val="808867088"/>
      </c:barChart>
      <c:dateAx>
        <c:axId val="808863128"/>
        <c:scaling>
          <c:orientation val="maxMin"/>
        </c:scaling>
        <c:delete val="0"/>
        <c:axPos val="b"/>
        <c:numFmt formatCode="mmm\ yy\'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867088"/>
        <c:crosses val="autoZero"/>
        <c:auto val="1"/>
        <c:lblOffset val="100"/>
        <c:baseTimeUnit val="months"/>
      </c:dateAx>
      <c:valAx>
        <c:axId val="808867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0886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e-IL" sz="1600" b="1" i="0" u="sng" strike="noStrike" kern="1200" spc="0" baseline="0">
                <a:solidFill>
                  <a:schemeClr val="tx2"/>
                </a:solidFill>
              </a:rPr>
              <a:t>פילוח ציוני תרגילים</a:t>
            </a:r>
            <a:r>
              <a:rPr lang="en-US" sz="1600" b="1" i="0" u="sng" strike="noStrike" kern="1200" spc="0" baseline="0">
                <a:solidFill>
                  <a:schemeClr val="tx2"/>
                </a:solidFill>
              </a:rPr>
              <a:t> </a:t>
            </a:r>
            <a:r>
              <a:rPr lang="he-IL" sz="1600" b="1" i="0" u="sng" strike="noStrike" kern="1200" spc="0" baseline="0">
                <a:solidFill>
                  <a:schemeClr val="tx2"/>
                </a:solidFill>
              </a:rPr>
              <a:t>בשנה האחרונה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3509294206361323"/>
          <c:y val="0.31645013123359578"/>
          <c:w val="0.58406092581079039"/>
          <c:h val="0.64997047244094486"/>
        </c:manualLayout>
      </c:layout>
      <c:pieChart>
        <c:varyColors val="1"/>
        <c:ser>
          <c:idx val="0"/>
          <c:order val="0"/>
          <c:tx>
            <c:strRef>
              <c:f>'מידע לגרפים'!$K$17</c:f>
              <c:strCache>
                <c:ptCount val="1"/>
                <c:pt idx="0">
                  <c:v>תרגילים בשנה אחרונה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14C-4984-BC8A-12033A6315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14C-4984-BC8A-12033A6315F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14C-4984-BC8A-12033A6315F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14C-4984-BC8A-12033A6315F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>
                        <a:glow rad="101600">
                          <a:schemeClr val="bg1">
                            <a:alpha val="60000"/>
                          </a:schemeClr>
                        </a:glow>
                      </a:effectLst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he-IL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4C-4984-BC8A-12033A6315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he-IL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'מידע לגרפים'!$J$18:$J$21</c:f>
              <c:strCache>
                <c:ptCount val="4"/>
                <c:pt idx="0">
                  <c:v>טוב</c:v>
                </c:pt>
                <c:pt idx="1">
                  <c:v>לא טוב</c:v>
                </c:pt>
                <c:pt idx="2">
                  <c:v>בינוני</c:v>
                </c:pt>
                <c:pt idx="3">
                  <c:v>לימודי</c:v>
                </c:pt>
              </c:strCache>
            </c:strRef>
          </c:cat>
          <c:val>
            <c:numRef>
              <c:f>'מידע לגרפים'!$K$18:$K$21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4C-4984-BC8A-12033A631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&#1505;&#1497;&#1499;&#1493;&#1501; - &#1514;&#1512;&#1490;&#1497;&#1500;&#1497;&#1501;'!A1"/><Relationship Id="rId13" Type="http://schemas.openxmlformats.org/officeDocument/2006/relationships/chart" Target="../charts/chart4.xml"/><Relationship Id="rId3" Type="http://schemas.openxmlformats.org/officeDocument/2006/relationships/hyperlink" Target="#'&#1506;&#1493;&#1489;&#1491; - &#1489;&#1497;&#1511;&#1493;&#1512;&#1493;&#1514;'!A1"/><Relationship Id="rId7" Type="http://schemas.openxmlformats.org/officeDocument/2006/relationships/hyperlink" Target="#'&#1505;&#1497;&#1499;&#1493;&#1501; - &#1489;&#1497;&#1511;&#1493;&#1512;&#1493;&#1514;'!A1"/><Relationship Id="rId12" Type="http://schemas.openxmlformats.org/officeDocument/2006/relationships/chart" Target="../charts/chart3.xml"/><Relationship Id="rId2" Type="http://schemas.openxmlformats.org/officeDocument/2006/relationships/hyperlink" Target="#'&#1506;&#1493;&#1489;&#1491; - &#1488;&#1497;&#1495;&#1493;&#1512;&#1497;&#1501;'!A1"/><Relationship Id="rId1" Type="http://schemas.openxmlformats.org/officeDocument/2006/relationships/hyperlink" Target="#'&#1506;&#1493;&#1489;&#1491; - &#1499;&#1500;&#1500;&#1497;'!A1"/><Relationship Id="rId6" Type="http://schemas.openxmlformats.org/officeDocument/2006/relationships/hyperlink" Target="#'&#1505;&#1497;&#1499;&#1493;&#1501; - &#1488;&#1497;&#1495;&#1493;&#1512;&#1497;&#1501;'!A1"/><Relationship Id="rId11" Type="http://schemas.openxmlformats.org/officeDocument/2006/relationships/chart" Target="../charts/chart2.xml"/><Relationship Id="rId5" Type="http://schemas.openxmlformats.org/officeDocument/2006/relationships/hyperlink" Target="#'&#1505;&#1497;&#1499;&#1493;&#1501; - &#1489;&#1495;&#1504;&#1497; &#1513;&#1496;&#1495;'!A1"/><Relationship Id="rId10" Type="http://schemas.openxmlformats.org/officeDocument/2006/relationships/chart" Target="../charts/chart1.xml"/><Relationship Id="rId4" Type="http://schemas.openxmlformats.org/officeDocument/2006/relationships/hyperlink" Target="#'&#1506;&#1493;&#1489;&#1491; - &#1514;&#1512;&#1490;&#1497;&#1500;&#1497;&#1501;'!A1"/><Relationship Id="rId9" Type="http://schemas.openxmlformats.org/officeDocument/2006/relationships/image" Target="../media/image1.png"/><Relationship Id="rId14" Type="http://schemas.openxmlformats.org/officeDocument/2006/relationships/hyperlink" Target="#'&#1505;&#1497;&#1499;&#1493;&#1501; - &#1492;&#1505;&#1502;&#1499;&#1493;&#1514;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hyperlink" Target="#'&#1502;&#1505;&#1498; &#1512;&#1488;&#1513;&#1497;'!A1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3.png"/><Relationship Id="rId1" Type="http://schemas.openxmlformats.org/officeDocument/2006/relationships/hyperlink" Target="#'&#1502;&#1505;&#1498; &#1512;&#1488;&#1513;&#1497;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2.png"/><Relationship Id="rId1" Type="http://schemas.openxmlformats.org/officeDocument/2006/relationships/hyperlink" Target="#'&#1502;&#1505;&#1498; &#1512;&#1488;&#1513;&#1497;'!A1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2.png"/><Relationship Id="rId1" Type="http://schemas.openxmlformats.org/officeDocument/2006/relationships/hyperlink" Target="#'&#1502;&#1505;&#1498; &#1512;&#1488;&#1513;&#1497;'!A1"/><Relationship Id="rId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3.png"/><Relationship Id="rId1" Type="http://schemas.openxmlformats.org/officeDocument/2006/relationships/hyperlink" Target="#'&#1502;&#1505;&#1498; &#1512;&#1488;&#1513;&#1497;'!A1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&#1502;&#1505;&#1498; &#1512;&#1488;&#1513;&#1497;'!A1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3.png"/><Relationship Id="rId1" Type="http://schemas.openxmlformats.org/officeDocument/2006/relationships/hyperlink" Target="#'&#1502;&#1505;&#1498; &#1512;&#1488;&#1513;&#1497;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image" Target="../media/image3.png"/><Relationship Id="rId1" Type="http://schemas.openxmlformats.org/officeDocument/2006/relationships/hyperlink" Target="#'&#1502;&#1505;&#1498; &#1512;&#1488;&#1513;&#1497;'!A1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image" Target="../media/image3.png"/><Relationship Id="rId1" Type="http://schemas.openxmlformats.org/officeDocument/2006/relationships/hyperlink" Target="#'&#1502;&#1505;&#1498; &#1512;&#1488;&#1513;&#1497;'!A1"/><Relationship Id="rId4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&#1502;&#1505;&#1498; &#1512;&#1488;&#1513;&#1497;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176026</xdr:colOff>
      <xdr:row>3</xdr:row>
      <xdr:rowOff>80963</xdr:rowOff>
    </xdr:from>
    <xdr:to>
      <xdr:col>0</xdr:col>
      <xdr:colOff>1724026</xdr:colOff>
      <xdr:row>6</xdr:row>
      <xdr:rowOff>168038</xdr:rowOff>
    </xdr:to>
    <xdr:sp macro="[0]!ShowFrmAddNewName" textlink="">
      <xdr:nvSpPr>
        <xdr:cNvPr id="2" name="תרשים זרימה: תהליך חלופי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40376299" y="1547813"/>
          <a:ext cx="1548000" cy="630000"/>
        </a:xfrm>
        <a:prstGeom prst="flowChartAlternateProcess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הוספה:</a:t>
          </a:r>
          <a:br>
            <a:rPr lang="en-US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</a:br>
          <a:r>
            <a:rPr lang="he-IL" sz="1400" b="1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מאבטח חדש</a:t>
          </a:r>
        </a:p>
      </xdr:txBody>
    </xdr:sp>
    <xdr:clientData/>
  </xdr:twoCellAnchor>
  <xdr:twoCellAnchor editAs="oneCell">
    <xdr:from>
      <xdr:col>1</xdr:col>
      <xdr:colOff>130783</xdr:colOff>
      <xdr:row>3</xdr:row>
      <xdr:rowOff>80963</xdr:rowOff>
    </xdr:from>
    <xdr:to>
      <xdr:col>1</xdr:col>
      <xdr:colOff>1678783</xdr:colOff>
      <xdr:row>6</xdr:row>
      <xdr:rowOff>168038</xdr:rowOff>
    </xdr:to>
    <xdr:sp macro="[0]!ShowFrmAddExam" textlink="">
      <xdr:nvSpPr>
        <xdr:cNvPr id="3" name="תרשים זרימה: תהליך חלופי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238545117" y="1547813"/>
          <a:ext cx="1548000" cy="630000"/>
        </a:xfrm>
        <a:prstGeom prst="flowChartAlternateProcess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הוספת דיווח:</a:t>
          </a:r>
          <a:br>
            <a:rPr lang="en-US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</a:br>
          <a:r>
            <a:rPr lang="he-IL" sz="1400" b="1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בוחן שטח</a:t>
          </a:r>
        </a:p>
      </xdr:txBody>
    </xdr:sp>
    <xdr:clientData/>
  </xdr:twoCellAnchor>
  <xdr:twoCellAnchor editAs="oneCell">
    <xdr:from>
      <xdr:col>2</xdr:col>
      <xdr:colOff>85539</xdr:colOff>
      <xdr:row>3</xdr:row>
      <xdr:rowOff>80963</xdr:rowOff>
    </xdr:from>
    <xdr:to>
      <xdr:col>2</xdr:col>
      <xdr:colOff>1633539</xdr:colOff>
      <xdr:row>6</xdr:row>
      <xdr:rowOff>168038</xdr:rowOff>
    </xdr:to>
    <xdr:sp macro="[0]!ShowFrmAddLates" textlink="">
      <xdr:nvSpPr>
        <xdr:cNvPr id="4" name="תרשים זרימה: תהליך חלופי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236713936" y="1547813"/>
          <a:ext cx="1548000" cy="630000"/>
        </a:xfrm>
        <a:prstGeom prst="flowChartAlternateProcess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הוספת דיווח:</a:t>
          </a:r>
          <a:br>
            <a:rPr lang="en-US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</a:br>
          <a:r>
            <a:rPr lang="he-IL" sz="1400" b="1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איחורים</a:t>
          </a:r>
        </a:p>
      </xdr:txBody>
    </xdr:sp>
    <xdr:clientData/>
  </xdr:twoCellAnchor>
  <xdr:twoCellAnchor editAs="oneCell">
    <xdr:from>
      <xdr:col>3</xdr:col>
      <xdr:colOff>40295</xdr:colOff>
      <xdr:row>3</xdr:row>
      <xdr:rowOff>80963</xdr:rowOff>
    </xdr:from>
    <xdr:to>
      <xdr:col>3</xdr:col>
      <xdr:colOff>1588295</xdr:colOff>
      <xdr:row>6</xdr:row>
      <xdr:rowOff>168038</xdr:rowOff>
    </xdr:to>
    <xdr:sp macro="[0]!ShowFrmAddRevw" textlink="">
      <xdr:nvSpPr>
        <xdr:cNvPr id="5" name="תרשים זרימה: תהליך חלופי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234882755" y="1547813"/>
          <a:ext cx="1548000" cy="630000"/>
        </a:xfrm>
        <a:prstGeom prst="flowChartAlternateProcess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הוספת דיווח:</a:t>
          </a:r>
          <a:br>
            <a:rPr lang="en-US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</a:br>
          <a:r>
            <a:rPr lang="he-IL" sz="1400" b="1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ביקורת</a:t>
          </a:r>
        </a:p>
      </xdr:txBody>
    </xdr:sp>
    <xdr:clientData/>
  </xdr:twoCellAnchor>
  <xdr:twoCellAnchor editAs="oneCell">
    <xdr:from>
      <xdr:col>3</xdr:col>
      <xdr:colOff>1871476</xdr:colOff>
      <xdr:row>3</xdr:row>
      <xdr:rowOff>80963</xdr:rowOff>
    </xdr:from>
    <xdr:to>
      <xdr:col>4</xdr:col>
      <xdr:colOff>1543051</xdr:colOff>
      <xdr:row>6</xdr:row>
      <xdr:rowOff>168038</xdr:rowOff>
    </xdr:to>
    <xdr:sp macro="[0]!ShowFrmAddDrill" textlink="">
      <xdr:nvSpPr>
        <xdr:cNvPr id="6" name="תרשים זרימה: תהליך חלופי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233051574" y="1547813"/>
          <a:ext cx="1548000" cy="630000"/>
        </a:xfrm>
        <a:prstGeom prst="flowChartAlternateProcess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הוספת דיווח:</a:t>
          </a:r>
          <a:br>
            <a:rPr lang="en-US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</a:br>
          <a:r>
            <a:rPr lang="he-IL" sz="1400" b="1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תרגיל</a:t>
          </a:r>
        </a:p>
      </xdr:txBody>
    </xdr:sp>
    <xdr:clientData/>
  </xdr:twoCellAnchor>
  <xdr:twoCellAnchor editAs="absolute">
    <xdr:from>
      <xdr:col>15</xdr:col>
      <xdr:colOff>66675</xdr:colOff>
      <xdr:row>22</xdr:row>
      <xdr:rowOff>257175</xdr:rowOff>
    </xdr:from>
    <xdr:to>
      <xdr:col>17</xdr:col>
      <xdr:colOff>133350</xdr:colOff>
      <xdr:row>26</xdr:row>
      <xdr:rowOff>28575</xdr:rowOff>
    </xdr:to>
    <xdr:sp macro="[0]!ToggleSheetVisibility" textlink="">
      <xdr:nvSpPr>
        <xdr:cNvPr id="7" name="אליפסה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224355250" y="6229350"/>
          <a:ext cx="1438275" cy="704850"/>
        </a:xfrm>
        <a:prstGeom prst="ellipse">
          <a:avLst/>
        </a:prstGeom>
        <a:solidFill>
          <a:srgbClr val="DC143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he-IL" sz="1100" b="1"/>
            <a:t>הצג /</a:t>
          </a:r>
          <a:r>
            <a:rPr lang="he-IL" sz="1100" b="1" baseline="0"/>
            <a:t> ה</a:t>
          </a:r>
          <a:r>
            <a:rPr lang="he-IL" sz="1100" b="1"/>
            <a:t>סתר</a:t>
          </a:r>
          <a:r>
            <a:rPr lang="he-IL" sz="1100" b="1" baseline="0"/>
            <a:t> גיליונות עבודה</a:t>
          </a:r>
          <a:endParaRPr lang="he-IL" sz="1100" b="1"/>
        </a:p>
      </xdr:txBody>
    </xdr:sp>
    <xdr:clientData/>
  </xdr:twoCellAnchor>
  <xdr:twoCellAnchor editAs="oneCell">
    <xdr:from>
      <xdr:col>0</xdr:col>
      <xdr:colOff>109351</xdr:colOff>
      <xdr:row>10</xdr:row>
      <xdr:rowOff>112202</xdr:rowOff>
    </xdr:from>
    <xdr:to>
      <xdr:col>0</xdr:col>
      <xdr:colOff>1657351</xdr:colOff>
      <xdr:row>14</xdr:row>
      <xdr:rowOff>16570</xdr:rowOff>
    </xdr:to>
    <xdr:sp macro="" textlink="">
      <xdr:nvSpPr>
        <xdr:cNvPr id="9" name="תרשים זרימה: תהליך חלופי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1240442974" y="3379277"/>
          <a:ext cx="1548000" cy="628268"/>
        </a:xfrm>
        <a:prstGeom prst="flowChartAlternateProcess">
          <a:avLst/>
        </a:prstGeom>
        <a:solidFill>
          <a:schemeClr val="accent4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הצג גיליון</a:t>
          </a:r>
          <a:br>
            <a:rPr lang="en-US" sz="1400" b="1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</a:br>
          <a:r>
            <a:rPr lang="he-IL" sz="1400" b="1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מידע כללי</a:t>
          </a:r>
        </a:p>
      </xdr:txBody>
    </xdr:sp>
    <xdr:clientData/>
  </xdr:twoCellAnchor>
  <xdr:twoCellAnchor editAs="oneCell">
    <xdr:from>
      <xdr:col>2</xdr:col>
      <xdr:colOff>96958</xdr:colOff>
      <xdr:row>10</xdr:row>
      <xdr:rowOff>112202</xdr:rowOff>
    </xdr:from>
    <xdr:to>
      <xdr:col>2</xdr:col>
      <xdr:colOff>1644958</xdr:colOff>
      <xdr:row>14</xdr:row>
      <xdr:rowOff>16570</xdr:rowOff>
    </xdr:to>
    <xdr:sp macro="" textlink="">
      <xdr:nvSpPr>
        <xdr:cNvPr id="10" name="תרשים זרימה: תהליך חלופי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236702517" y="3379277"/>
          <a:ext cx="1548000" cy="628268"/>
        </a:xfrm>
        <a:prstGeom prst="flowChartAlternateProcess">
          <a:avLst/>
        </a:prstGeom>
        <a:solidFill>
          <a:schemeClr val="accent4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הצג גיליון </a:t>
          </a:r>
          <a:r>
            <a:rPr lang="he-IL" sz="1400" b="1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איחורים</a:t>
          </a:r>
        </a:p>
      </xdr:txBody>
    </xdr:sp>
    <xdr:clientData/>
  </xdr:twoCellAnchor>
  <xdr:twoCellAnchor editAs="oneCell">
    <xdr:from>
      <xdr:col>3</xdr:col>
      <xdr:colOff>90760</xdr:colOff>
      <xdr:row>10</xdr:row>
      <xdr:rowOff>112202</xdr:rowOff>
    </xdr:from>
    <xdr:to>
      <xdr:col>3</xdr:col>
      <xdr:colOff>1638760</xdr:colOff>
      <xdr:row>14</xdr:row>
      <xdr:rowOff>16570</xdr:rowOff>
    </xdr:to>
    <xdr:sp macro="" textlink="">
      <xdr:nvSpPr>
        <xdr:cNvPr id="11" name="תרשים זרימה: תהליך חלופי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1234832290" y="3379277"/>
          <a:ext cx="1548000" cy="628268"/>
        </a:xfrm>
        <a:prstGeom prst="flowChartAlternateProcess">
          <a:avLst/>
        </a:prstGeom>
        <a:solidFill>
          <a:schemeClr val="accent4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הצג גיליון </a:t>
          </a:r>
          <a:r>
            <a:rPr lang="he-IL" sz="1400" b="1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ביקורות</a:t>
          </a:r>
        </a:p>
      </xdr:txBody>
    </xdr:sp>
    <xdr:clientData/>
  </xdr:twoCellAnchor>
  <xdr:twoCellAnchor editAs="oneCell">
    <xdr:from>
      <xdr:col>4</xdr:col>
      <xdr:colOff>84562</xdr:colOff>
      <xdr:row>10</xdr:row>
      <xdr:rowOff>112202</xdr:rowOff>
    </xdr:from>
    <xdr:to>
      <xdr:col>4</xdr:col>
      <xdr:colOff>1632562</xdr:colOff>
      <xdr:row>14</xdr:row>
      <xdr:rowOff>16570</xdr:rowOff>
    </xdr:to>
    <xdr:sp macro="" textlink="">
      <xdr:nvSpPr>
        <xdr:cNvPr id="12" name="תרשים זרימה: תהליך חלופי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232962063" y="3379277"/>
          <a:ext cx="1548000" cy="628268"/>
        </a:xfrm>
        <a:prstGeom prst="flowChartAlternateProcess">
          <a:avLst/>
        </a:prstGeom>
        <a:solidFill>
          <a:schemeClr val="accent4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הצג גיליון </a:t>
          </a:r>
          <a:r>
            <a:rPr lang="he-IL" sz="1400" b="1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תרגילים</a:t>
          </a:r>
        </a:p>
      </xdr:txBody>
    </xdr:sp>
    <xdr:clientData/>
  </xdr:twoCellAnchor>
  <xdr:twoCellAnchor editAs="oneCell">
    <xdr:from>
      <xdr:col>1</xdr:col>
      <xdr:colOff>111949</xdr:colOff>
      <xdr:row>16</xdr:row>
      <xdr:rowOff>98029</xdr:rowOff>
    </xdr:from>
    <xdr:to>
      <xdr:col>1</xdr:col>
      <xdr:colOff>1662547</xdr:colOff>
      <xdr:row>20</xdr:row>
      <xdr:rowOff>4129</xdr:rowOff>
    </xdr:to>
    <xdr:sp macro="" textlink="">
      <xdr:nvSpPr>
        <xdr:cNvPr id="13" name="תרשים זרימה: תהליך חלופי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238561353" y="4717654"/>
          <a:ext cx="1550598" cy="630000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הצג סיכום</a:t>
          </a:r>
          <a:r>
            <a:rPr lang="he-IL" sz="1400" b="0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 מצב:</a:t>
          </a:r>
          <a:br>
            <a:rPr lang="en-US" sz="1400" b="1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</a:br>
          <a:r>
            <a:rPr lang="he-IL" sz="1400" b="1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בחני שטח</a:t>
          </a:r>
          <a:endParaRPr lang="he-IL" sz="1400" b="1">
            <a:solidFill>
              <a:srgbClr val="002060"/>
            </a:solidFill>
            <a:latin typeface="Guttman Hatzvi" panose="02010401010101010101" pitchFamily="2" charset="-79"/>
            <a:cs typeface="Guttman Hatzvi" panose="02010401010101010101" pitchFamily="2" charset="-79"/>
          </a:endParaRPr>
        </a:p>
      </xdr:txBody>
    </xdr:sp>
    <xdr:clientData/>
  </xdr:twoCellAnchor>
  <xdr:twoCellAnchor editAs="oneCell">
    <xdr:from>
      <xdr:col>2</xdr:col>
      <xdr:colOff>94675</xdr:colOff>
      <xdr:row>16</xdr:row>
      <xdr:rowOff>98029</xdr:rowOff>
    </xdr:from>
    <xdr:to>
      <xdr:col>2</xdr:col>
      <xdr:colOff>1645272</xdr:colOff>
      <xdr:row>20</xdr:row>
      <xdr:rowOff>4129</xdr:rowOff>
    </xdr:to>
    <xdr:sp macro="" textlink="">
      <xdr:nvSpPr>
        <xdr:cNvPr id="16" name="תרשים זרימה: תהליך חלופי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1236702203" y="4717654"/>
          <a:ext cx="1550597" cy="630000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הצג סיכום</a:t>
          </a:r>
          <a:r>
            <a:rPr lang="he-IL" sz="1400" b="0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 מצב:</a:t>
          </a:r>
          <a:br>
            <a:rPr lang="en-US" sz="1400" b="1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</a:br>
          <a:r>
            <a:rPr lang="he-IL" sz="1400" b="1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איחורים</a:t>
          </a:r>
          <a:endParaRPr lang="he-IL" sz="1400" b="1">
            <a:solidFill>
              <a:srgbClr val="002060"/>
            </a:solidFill>
            <a:latin typeface="Guttman Hatzvi" panose="02010401010101010101" pitchFamily="2" charset="-79"/>
            <a:cs typeface="Guttman Hatzvi" panose="02010401010101010101" pitchFamily="2" charset="-79"/>
          </a:endParaRPr>
        </a:p>
      </xdr:txBody>
    </xdr:sp>
    <xdr:clientData/>
  </xdr:twoCellAnchor>
  <xdr:twoCellAnchor editAs="oneCell">
    <xdr:from>
      <xdr:col>3</xdr:col>
      <xdr:colOff>77399</xdr:colOff>
      <xdr:row>16</xdr:row>
      <xdr:rowOff>98029</xdr:rowOff>
    </xdr:from>
    <xdr:to>
      <xdr:col>3</xdr:col>
      <xdr:colOff>1627997</xdr:colOff>
      <xdr:row>20</xdr:row>
      <xdr:rowOff>4129</xdr:rowOff>
    </xdr:to>
    <xdr:sp macro="" textlink="">
      <xdr:nvSpPr>
        <xdr:cNvPr id="17" name="תרשים זרימה: תהליך חלופי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1234843053" y="4717654"/>
          <a:ext cx="1550598" cy="630000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הצג סיכום</a:t>
          </a:r>
          <a:r>
            <a:rPr lang="he-IL" sz="1400" b="0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 מצב:</a:t>
          </a:r>
          <a:br>
            <a:rPr lang="en-US" sz="1400" b="1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</a:br>
          <a:r>
            <a:rPr lang="he-IL" sz="1400" b="1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ביקורות</a:t>
          </a:r>
          <a:endParaRPr lang="he-IL" sz="1400" b="1">
            <a:solidFill>
              <a:srgbClr val="002060"/>
            </a:solidFill>
            <a:latin typeface="Guttman Hatzvi" panose="02010401010101010101" pitchFamily="2" charset="-79"/>
            <a:cs typeface="Guttman Hatzvi" panose="02010401010101010101" pitchFamily="2" charset="-79"/>
          </a:endParaRPr>
        </a:p>
      </xdr:txBody>
    </xdr:sp>
    <xdr:clientData/>
  </xdr:twoCellAnchor>
  <xdr:twoCellAnchor editAs="oneCell">
    <xdr:from>
      <xdr:col>4</xdr:col>
      <xdr:colOff>60124</xdr:colOff>
      <xdr:row>16</xdr:row>
      <xdr:rowOff>98029</xdr:rowOff>
    </xdr:from>
    <xdr:to>
      <xdr:col>4</xdr:col>
      <xdr:colOff>1610722</xdr:colOff>
      <xdr:row>20</xdr:row>
      <xdr:rowOff>4129</xdr:rowOff>
    </xdr:to>
    <xdr:sp macro="" textlink="">
      <xdr:nvSpPr>
        <xdr:cNvPr id="18" name="תרשים זרימה: תהליך חלופי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1232983903" y="4717654"/>
          <a:ext cx="1550598" cy="630000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הצג סיכום</a:t>
          </a:r>
          <a:r>
            <a:rPr lang="he-IL" sz="1400" b="0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 מצב:</a:t>
          </a:r>
          <a:br>
            <a:rPr lang="en-US" sz="1400" b="1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</a:br>
          <a:r>
            <a:rPr lang="he-IL" sz="1400" b="1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תרגילים</a:t>
          </a:r>
          <a:endParaRPr lang="he-IL" sz="1400" b="1">
            <a:solidFill>
              <a:srgbClr val="002060"/>
            </a:solidFill>
            <a:latin typeface="Guttman Hatzvi" panose="02010401010101010101" pitchFamily="2" charset="-79"/>
            <a:cs typeface="Guttman Hatzvi" panose="02010401010101010101" pitchFamily="2" charset="-79"/>
          </a:endParaRPr>
        </a:p>
      </xdr:txBody>
    </xdr:sp>
    <xdr:clientData/>
  </xdr:twoCellAnchor>
  <xdr:twoCellAnchor editAs="oneCell">
    <xdr:from>
      <xdr:col>41</xdr:col>
      <xdr:colOff>326335</xdr:colOff>
      <xdr:row>10</xdr:row>
      <xdr:rowOff>23814</xdr:rowOff>
    </xdr:from>
    <xdr:to>
      <xdr:col>43</xdr:col>
      <xdr:colOff>499422</xdr:colOff>
      <xdr:row>13</xdr:row>
      <xdr:rowOff>110023</xdr:rowOff>
    </xdr:to>
    <xdr:sp macro="" textlink="">
      <xdr:nvSpPr>
        <xdr:cNvPr id="8" name="תרשים זרימה: תהליך חלופי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233227599" y="3262314"/>
          <a:ext cx="1548000" cy="632485"/>
        </a:xfrm>
        <a:prstGeom prst="flowChartAlternateProcess">
          <a:avLst/>
        </a:prstGeom>
        <a:solidFill>
          <a:schemeClr val="accent4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1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הצג גיליון תרגילים</a:t>
          </a:r>
        </a:p>
      </xdr:txBody>
    </xdr:sp>
    <xdr:clientData/>
  </xdr:twoCellAnchor>
  <xdr:twoCellAnchor>
    <xdr:from>
      <xdr:col>1</xdr:col>
      <xdr:colOff>103155</xdr:colOff>
      <xdr:row>10</xdr:row>
      <xdr:rowOff>116532</xdr:rowOff>
    </xdr:from>
    <xdr:to>
      <xdr:col>1</xdr:col>
      <xdr:colOff>1651155</xdr:colOff>
      <xdr:row>14</xdr:row>
      <xdr:rowOff>12241</xdr:rowOff>
    </xdr:to>
    <xdr:grpSp>
      <xdr:nvGrpSpPr>
        <xdr:cNvPr id="22" name="קבוצה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11238565125" y="3225492"/>
          <a:ext cx="1548000" cy="596749"/>
          <a:chOff x="11210217686" y="3350702"/>
          <a:chExt cx="1548000" cy="631732"/>
        </a:xfrm>
      </xdr:grpSpPr>
      <xdr:sp macro="[0]!PrintDisiplinToPDF" textlink="">
        <xdr:nvSpPr>
          <xdr:cNvPr id="14" name="תרשים זרימה: תהליך חלופי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11210217686" y="3350702"/>
            <a:ext cx="1548000" cy="631732"/>
          </a:xfrm>
          <a:prstGeom prst="flowChartAlternateProcess">
            <a:avLst/>
          </a:prstGeom>
          <a:solidFill>
            <a:schemeClr val="accent4">
              <a:lumMod val="20000"/>
              <a:lumOff val="80000"/>
            </a:schemeClr>
          </a:solidFill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1" anchor="ctr"/>
          <a:lstStyle/>
          <a:p>
            <a:pPr algn="ctr" rtl="1"/>
            <a:r>
              <a:rPr lang="he-IL" sz="1400" b="0">
                <a:solidFill>
                  <a:schemeClr val="accent2">
                    <a:lumMod val="50000"/>
                  </a:schemeClr>
                </a:solidFill>
                <a:latin typeface="Guttman Hatzvi" panose="02010401010101010101" pitchFamily="2" charset="-79"/>
                <a:cs typeface="Guttman Hatzvi" panose="02010401010101010101" pitchFamily="2" charset="-79"/>
              </a:rPr>
              <a:t>יצוא</a:t>
            </a:r>
            <a:r>
              <a:rPr lang="he-IL" sz="1400" b="0" baseline="0">
                <a:solidFill>
                  <a:schemeClr val="accent2">
                    <a:lumMod val="50000"/>
                  </a:schemeClr>
                </a:solidFill>
                <a:latin typeface="Guttman Hatzvi" panose="02010401010101010101" pitchFamily="2" charset="-79"/>
                <a:cs typeface="Guttman Hatzvi" panose="02010401010101010101" pitchFamily="2" charset="-79"/>
              </a:rPr>
              <a:t> קובץ </a:t>
            </a:r>
            <a:r>
              <a:rPr lang="he-IL" sz="1400" b="1" baseline="0">
                <a:solidFill>
                  <a:schemeClr val="accent2">
                    <a:lumMod val="50000"/>
                  </a:schemeClr>
                </a:solidFill>
                <a:latin typeface="Guttman Hatzvi" panose="02010401010101010101" pitchFamily="2" charset="-79"/>
                <a:cs typeface="Guttman Hatzvi" panose="02010401010101010101" pitchFamily="2" charset="-79"/>
              </a:rPr>
              <a:t>לשיחת משמעת</a:t>
            </a:r>
            <a:endParaRPr lang="he-IL" sz="1400" b="1">
              <a:solidFill>
                <a:schemeClr val="accent2">
                  <a:lumMod val="50000"/>
                </a:schemeClr>
              </a:solidFill>
              <a:latin typeface="Guttman Hatzvi" panose="02010401010101010101" pitchFamily="2" charset="-79"/>
              <a:cs typeface="Guttman Hatzvi" panose="02010401010101010101" pitchFamily="2" charset="-79"/>
            </a:endParaRPr>
          </a:p>
        </xdr:txBody>
      </xdr:sp>
      <xdr:pic>
        <xdr:nvPicPr>
          <xdr:cNvPr id="20" name="תמונה 19" descr="Pdf - Free files and folders icons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211444546" y="3417640"/>
            <a:ext cx="251114" cy="2529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5</xdr:col>
      <xdr:colOff>205785</xdr:colOff>
      <xdr:row>0</xdr:row>
      <xdr:rowOff>314326</xdr:rowOff>
    </xdr:from>
    <xdr:to>
      <xdr:col>10</xdr:col>
      <xdr:colOff>376785</xdr:colOff>
      <xdr:row>9</xdr:row>
      <xdr:rowOff>194926</xdr:rowOff>
    </xdr:to>
    <xdr:graphicFrame macro="">
      <xdr:nvGraphicFramePr>
        <xdr:cNvPr id="24" name="תרשים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5</xdr:col>
      <xdr:colOff>205785</xdr:colOff>
      <xdr:row>9</xdr:row>
      <xdr:rowOff>257175</xdr:rowOff>
    </xdr:from>
    <xdr:to>
      <xdr:col>10</xdr:col>
      <xdr:colOff>376785</xdr:colOff>
      <xdr:row>21</xdr:row>
      <xdr:rowOff>252075</xdr:rowOff>
    </xdr:to>
    <xdr:graphicFrame macro="">
      <xdr:nvGraphicFramePr>
        <xdr:cNvPr id="26" name="תרשים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10</xdr:col>
      <xdr:colOff>484524</xdr:colOff>
      <xdr:row>0</xdr:row>
      <xdr:rowOff>314325</xdr:rowOff>
    </xdr:from>
    <xdr:to>
      <xdr:col>15</xdr:col>
      <xdr:colOff>655524</xdr:colOff>
      <xdr:row>9</xdr:row>
      <xdr:rowOff>194925</xdr:rowOff>
    </xdr:to>
    <xdr:graphicFrame macro="">
      <xdr:nvGraphicFramePr>
        <xdr:cNvPr id="25" name="תרשים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10</xdr:col>
      <xdr:colOff>484524</xdr:colOff>
      <xdr:row>9</xdr:row>
      <xdr:rowOff>257175</xdr:rowOff>
    </xdr:from>
    <xdr:to>
      <xdr:col>15</xdr:col>
      <xdr:colOff>655524</xdr:colOff>
      <xdr:row>21</xdr:row>
      <xdr:rowOff>252075</xdr:rowOff>
    </xdr:to>
    <xdr:graphicFrame macro="">
      <xdr:nvGraphicFramePr>
        <xdr:cNvPr id="27" name="תרשים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37</xdr:col>
      <xdr:colOff>566306</xdr:colOff>
      <xdr:row>16</xdr:row>
      <xdr:rowOff>121662</xdr:rowOff>
    </xdr:from>
    <xdr:to>
      <xdr:col>40</xdr:col>
      <xdr:colOff>59504</xdr:colOff>
      <xdr:row>20</xdr:row>
      <xdr:rowOff>27762</xdr:rowOff>
    </xdr:to>
    <xdr:sp macro="" textlink="">
      <xdr:nvSpPr>
        <xdr:cNvPr id="15" name="תרשים זרימה: תהליך חלופי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1208655696" y="4741287"/>
          <a:ext cx="1550598" cy="630000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הצג סיכום</a:t>
          </a:r>
          <a:r>
            <a:rPr lang="he-IL" sz="1400" b="0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 מצב:</a:t>
          </a:r>
          <a:br>
            <a:rPr lang="en-US" sz="1400" b="1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</a:br>
          <a:r>
            <a:rPr lang="he-IL" sz="1400" b="1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בחני שטח</a:t>
          </a:r>
          <a:endParaRPr lang="he-IL" sz="1400" b="1">
            <a:solidFill>
              <a:srgbClr val="002060"/>
            </a:solidFill>
            <a:latin typeface="Guttman Hatzvi" panose="02010401010101010101" pitchFamily="2" charset="-79"/>
            <a:cs typeface="Guttman Hatzvi" panose="02010401010101010101" pitchFamily="2" charset="-79"/>
          </a:endParaRPr>
        </a:p>
      </xdr:txBody>
    </xdr:sp>
    <xdr:clientData/>
  </xdr:twoCellAnchor>
  <xdr:twoCellAnchor editAs="oneCell">
    <xdr:from>
      <xdr:col>0</xdr:col>
      <xdr:colOff>90922</xdr:colOff>
      <xdr:row>16</xdr:row>
      <xdr:rowOff>98029</xdr:rowOff>
    </xdr:from>
    <xdr:to>
      <xdr:col>0</xdr:col>
      <xdr:colOff>1641520</xdr:colOff>
      <xdr:row>20</xdr:row>
      <xdr:rowOff>4129</xdr:rowOff>
    </xdr:to>
    <xdr:sp macro="" textlink="">
      <xdr:nvSpPr>
        <xdr:cNvPr id="19" name="תרשים זרימה: תהליך חלופי 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1240458805" y="4717654"/>
          <a:ext cx="1550598" cy="630000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36000" rIns="0" bIns="36000" rtlCol="1" anchor="ctr"/>
        <a:lstStyle/>
        <a:p>
          <a:pPr algn="ctr" rtl="1"/>
          <a:r>
            <a:rPr lang="he-IL" sz="1400" b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הצג רשימות</a:t>
          </a:r>
          <a:r>
            <a:rPr lang="he-IL" sz="1400" b="0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:</a:t>
          </a:r>
          <a:br>
            <a:rPr lang="en-US" sz="1400" b="1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</a:br>
          <a:r>
            <a:rPr lang="he-IL" sz="1400" b="1" baseline="0">
              <a:solidFill>
                <a:srgbClr val="002060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הסמכות ותפקידים</a:t>
          </a:r>
          <a:endParaRPr lang="he-IL" sz="1400" b="1">
            <a:solidFill>
              <a:srgbClr val="002060"/>
            </a:solidFill>
            <a:latin typeface="Guttman Hatzvi" panose="02010401010101010101" pitchFamily="2" charset="-79"/>
            <a:cs typeface="Guttman Hatzvi" panose="02010401010101010101" pitchFamily="2" charset="-79"/>
          </a:endParaRPr>
        </a:p>
      </xdr:txBody>
    </xdr:sp>
    <xdr:clientData/>
  </xdr:twoCellAnchor>
  <xdr:twoCellAnchor editAs="oneCell">
    <xdr:from>
      <xdr:col>2</xdr:col>
      <xdr:colOff>71439</xdr:colOff>
      <xdr:row>22</xdr:row>
      <xdr:rowOff>104775</xdr:rowOff>
    </xdr:from>
    <xdr:to>
      <xdr:col>2</xdr:col>
      <xdr:colOff>1619439</xdr:colOff>
      <xdr:row>24</xdr:row>
      <xdr:rowOff>163275</xdr:rowOff>
    </xdr:to>
    <xdr:sp macro="[0]!ShowFrmEditLates" textlink="">
      <xdr:nvSpPr>
        <xdr:cNvPr id="21" name="תרשים זרימה: תהליך חלופי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236728036" y="6076950"/>
          <a:ext cx="1548000" cy="630000"/>
        </a:xfrm>
        <a:prstGeom prst="flowChartAlternateProcess">
          <a:avLst/>
        </a:prstGeom>
        <a:solidFill>
          <a:srgbClr val="F8AEAE"/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rgbClr val="BB1111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עריכת דיווח:</a:t>
          </a:r>
          <a:br>
            <a:rPr lang="en-US" sz="1400" b="0">
              <a:solidFill>
                <a:srgbClr val="BB1111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</a:br>
          <a:r>
            <a:rPr lang="he-IL" sz="1400" b="1">
              <a:solidFill>
                <a:srgbClr val="BB1111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איחורים</a:t>
          </a:r>
        </a:p>
      </xdr:txBody>
    </xdr:sp>
    <xdr:clientData/>
  </xdr:twoCellAnchor>
  <xdr:twoCellAnchor editAs="oneCell">
    <xdr:from>
      <xdr:col>0</xdr:col>
      <xdr:colOff>76389</xdr:colOff>
      <xdr:row>22</xdr:row>
      <xdr:rowOff>104775</xdr:rowOff>
    </xdr:from>
    <xdr:to>
      <xdr:col>0</xdr:col>
      <xdr:colOff>1624389</xdr:colOff>
      <xdr:row>24</xdr:row>
      <xdr:rowOff>163275</xdr:rowOff>
    </xdr:to>
    <xdr:sp macro="[0]!ShowFrmEditWorker" textlink="">
      <xdr:nvSpPr>
        <xdr:cNvPr id="23" name="תרשים זרימה: תהליך חלופי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1240475936" y="6076950"/>
          <a:ext cx="1548000" cy="630000"/>
        </a:xfrm>
        <a:prstGeom prst="flowChartAlternateProcess">
          <a:avLst/>
        </a:prstGeom>
        <a:solidFill>
          <a:srgbClr val="F8AEAE"/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1" anchor="ctr"/>
        <a:lstStyle/>
        <a:p>
          <a:pPr algn="ctr" rtl="1"/>
          <a:r>
            <a:rPr lang="he-IL" sz="1400" b="0">
              <a:solidFill>
                <a:srgbClr val="BB1111"/>
              </a:solidFill>
              <a:latin typeface="Guttman Hatzvi" panose="02010401010101010101" pitchFamily="2" charset="-79"/>
              <a:cs typeface="Guttman Hatzvi" panose="02010401010101010101" pitchFamily="2" charset="-79"/>
            </a:rPr>
            <a:t>עריכת פרטי מאבטח</a:t>
          </a:r>
          <a:endParaRPr lang="he-IL" sz="1400" b="1">
            <a:solidFill>
              <a:srgbClr val="BB1111"/>
            </a:solidFill>
            <a:latin typeface="Guttman Hatzvi" panose="02010401010101010101" pitchFamily="2" charset="-79"/>
            <a:cs typeface="Guttman Hatzvi" panose="02010401010101010101" pitchFamily="2" charset="-79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190501</xdr:colOff>
      <xdr:row>0</xdr:row>
      <xdr:rowOff>133350</xdr:rowOff>
    </xdr:from>
    <xdr:to>
      <xdr:col>0</xdr:col>
      <xdr:colOff>552450</xdr:colOff>
      <xdr:row>1</xdr:row>
      <xdr:rowOff>238124</xdr:rowOff>
    </xdr:to>
    <xdr:pic>
      <xdr:nvPicPr>
        <xdr:cNvPr id="2" name="תמונה 1" descr="House on WhatsApp 2.23.2.7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6767575" y="133350"/>
          <a:ext cx="361949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814387</xdr:colOff>
      <xdr:row>1</xdr:row>
      <xdr:rowOff>123825</xdr:rowOff>
    </xdr:from>
    <xdr:to>
      <xdr:col>11</xdr:col>
      <xdr:colOff>1023937</xdr:colOff>
      <xdr:row>7</xdr:row>
      <xdr:rowOff>85725</xdr:rowOff>
    </xdr:to>
    <xdr:sp macro="" textlink="">
      <xdr:nvSpPr>
        <xdr:cNvPr id="4" name="noRvwSign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spect="1"/>
        </xdr:cNvSpPr>
      </xdr:nvSpPr>
      <xdr:spPr>
        <a:xfrm>
          <a:off x="11232046688" y="381000"/>
          <a:ext cx="3190875" cy="1504950"/>
        </a:xfrm>
        <a:prstGeom prst="round2Diag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he-IL" sz="1800">
              <a:solidFill>
                <a:schemeClr val="bg1">
                  <a:lumMod val="50000"/>
                </a:schemeClr>
              </a:solidFill>
            </a:rPr>
            <a:t>אין</a:t>
          </a:r>
          <a:r>
            <a:rPr lang="he-IL" sz="1800" baseline="0">
              <a:solidFill>
                <a:schemeClr val="bg1">
                  <a:lumMod val="50000"/>
                </a:schemeClr>
              </a:solidFill>
            </a:rPr>
            <a:t> ביקורות למאבטח זה</a:t>
          </a:r>
          <a:endParaRPr lang="he-IL" sz="1800">
            <a:solidFill>
              <a:schemeClr val="bg1">
                <a:lumMod val="50000"/>
              </a:schemeClr>
            </a:solidFill>
          </a:endParaRPr>
        </a:p>
      </xdr:txBody>
    </xdr:sp>
    <xdr:clientData fPrintsWithSheet="0"/>
  </xdr:twoCellAnchor>
  <xdr:twoCellAnchor editAs="absolute">
    <xdr:from>
      <xdr:col>9</xdr:col>
      <xdr:colOff>814387</xdr:colOff>
      <xdr:row>19</xdr:row>
      <xdr:rowOff>104775</xdr:rowOff>
    </xdr:from>
    <xdr:to>
      <xdr:col>11</xdr:col>
      <xdr:colOff>1023937</xdr:colOff>
      <xdr:row>25</xdr:row>
      <xdr:rowOff>66675</xdr:rowOff>
    </xdr:to>
    <xdr:sp macro="" textlink="">
      <xdr:nvSpPr>
        <xdr:cNvPr id="8" name="noDrillSign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spect="1"/>
        </xdr:cNvSpPr>
      </xdr:nvSpPr>
      <xdr:spPr>
        <a:xfrm>
          <a:off x="11232046688" y="4991100"/>
          <a:ext cx="3190875" cy="1504950"/>
        </a:xfrm>
        <a:prstGeom prst="round2Diag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he-IL" sz="1800">
              <a:solidFill>
                <a:schemeClr val="bg1">
                  <a:lumMod val="50000"/>
                </a:schemeClr>
              </a:solidFill>
            </a:rPr>
            <a:t>אין</a:t>
          </a:r>
          <a:r>
            <a:rPr lang="he-IL" sz="1800" baseline="0">
              <a:solidFill>
                <a:schemeClr val="bg1">
                  <a:lumMod val="50000"/>
                </a:schemeClr>
              </a:solidFill>
            </a:rPr>
            <a:t> תרגילים למאבטח זה</a:t>
          </a:r>
          <a:endParaRPr lang="he-IL" sz="1800">
            <a:solidFill>
              <a:schemeClr val="bg1">
                <a:lumMod val="50000"/>
              </a:schemeClr>
            </a:solidFill>
          </a:endParaRPr>
        </a:p>
      </xdr:txBody>
    </xdr:sp>
    <xdr:clientData fPrintsWithSheet="0"/>
  </xdr:twoCellAnchor>
  <xdr:twoCellAnchor editAs="absolute">
    <xdr:from>
      <xdr:col>9</xdr:col>
      <xdr:colOff>814387</xdr:colOff>
      <xdr:row>10</xdr:row>
      <xdr:rowOff>76200</xdr:rowOff>
    </xdr:from>
    <xdr:to>
      <xdr:col>11</xdr:col>
      <xdr:colOff>1023937</xdr:colOff>
      <xdr:row>16</xdr:row>
      <xdr:rowOff>38100</xdr:rowOff>
    </xdr:to>
    <xdr:sp macro="" textlink="">
      <xdr:nvSpPr>
        <xdr:cNvPr id="9" name="noLateSign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spect="1"/>
        </xdr:cNvSpPr>
      </xdr:nvSpPr>
      <xdr:spPr>
        <a:xfrm>
          <a:off x="11232046688" y="2647950"/>
          <a:ext cx="3190875" cy="1504950"/>
        </a:xfrm>
        <a:prstGeom prst="round2Diag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he-IL" sz="1800">
              <a:solidFill>
                <a:schemeClr val="bg1">
                  <a:lumMod val="50000"/>
                </a:schemeClr>
              </a:solidFill>
            </a:rPr>
            <a:t>אין</a:t>
          </a:r>
          <a:r>
            <a:rPr lang="he-IL" sz="1800" baseline="0">
              <a:solidFill>
                <a:schemeClr val="bg1">
                  <a:lumMod val="50000"/>
                </a:schemeClr>
              </a:solidFill>
            </a:rPr>
            <a:t> איחורים למאבטח זה</a:t>
          </a:r>
          <a:endParaRPr lang="he-IL" sz="1800">
            <a:solidFill>
              <a:schemeClr val="bg1">
                <a:lumMod val="50000"/>
              </a:schemeClr>
            </a:solidFill>
          </a:endParaRPr>
        </a:p>
      </xdr:txBody>
    </xdr:sp>
    <xdr:clientData fPrintsWithSheet="0"/>
  </xdr:twoCellAnchor>
  <xdr:twoCellAnchor>
    <xdr:from>
      <xdr:col>9</xdr:col>
      <xdr:colOff>187537</xdr:colOff>
      <xdr:row>18</xdr:row>
      <xdr:rowOff>104775</xdr:rowOff>
    </xdr:from>
    <xdr:to>
      <xdr:col>12</xdr:col>
      <xdr:colOff>1282237</xdr:colOff>
      <xdr:row>26</xdr:row>
      <xdr:rowOff>207375</xdr:rowOff>
    </xdr:to>
    <xdr:graphicFrame macro="">
      <xdr:nvGraphicFramePr>
        <xdr:cNvPr id="7" name="תרשים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197062</xdr:colOff>
      <xdr:row>9</xdr:row>
      <xdr:rowOff>133350</xdr:rowOff>
    </xdr:from>
    <xdr:to>
      <xdr:col>12</xdr:col>
      <xdr:colOff>1291762</xdr:colOff>
      <xdr:row>17</xdr:row>
      <xdr:rowOff>235950</xdr:rowOff>
    </xdr:to>
    <xdr:graphicFrame macro="">
      <xdr:nvGraphicFramePr>
        <xdr:cNvPr id="12" name="תרשים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197062</xdr:colOff>
      <xdr:row>0</xdr:row>
      <xdr:rowOff>152400</xdr:rowOff>
    </xdr:from>
    <xdr:to>
      <xdr:col>12</xdr:col>
      <xdr:colOff>1291762</xdr:colOff>
      <xdr:row>8</xdr:row>
      <xdr:rowOff>255000</xdr:rowOff>
    </xdr:to>
    <xdr:graphicFrame macro="">
      <xdr:nvGraphicFramePr>
        <xdr:cNvPr id="14" name="תרשים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28575</xdr:rowOff>
    </xdr:from>
    <xdr:to>
      <xdr:col>0</xdr:col>
      <xdr:colOff>447674</xdr:colOff>
      <xdr:row>1</xdr:row>
      <xdr:rowOff>76199</xdr:rowOff>
    </xdr:to>
    <xdr:pic>
      <xdr:nvPicPr>
        <xdr:cNvPr id="3" name="תמונה 2" descr="House on WhatsApp 2.23.2.7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8757051" y="28575"/>
          <a:ext cx="361949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342900</xdr:colOff>
      <xdr:row>0</xdr:row>
      <xdr:rowOff>190500</xdr:rowOff>
    </xdr:from>
    <xdr:to>
      <xdr:col>5</xdr:col>
      <xdr:colOff>385243</xdr:colOff>
      <xdr:row>9</xdr:row>
      <xdr:rowOff>171450</xdr:rowOff>
    </xdr:to>
    <xdr:graphicFrame macro="">
      <xdr:nvGraphicFramePr>
        <xdr:cNvPr id="5" name="תרשים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57150</xdr:rowOff>
    </xdr:from>
    <xdr:to>
      <xdr:col>0</xdr:col>
      <xdr:colOff>447674</xdr:colOff>
      <xdr:row>1</xdr:row>
      <xdr:rowOff>57149</xdr:rowOff>
    </xdr:to>
    <xdr:pic>
      <xdr:nvPicPr>
        <xdr:cNvPr id="2" name="תמונה 1" descr="House on WhatsApp 2.23.2.7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4767326" y="57150"/>
          <a:ext cx="361949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337952</xdr:colOff>
      <xdr:row>0</xdr:row>
      <xdr:rowOff>271462</xdr:rowOff>
    </xdr:from>
    <xdr:to>
      <xdr:col>4</xdr:col>
      <xdr:colOff>1028702</xdr:colOff>
      <xdr:row>9</xdr:row>
      <xdr:rowOff>75862</xdr:rowOff>
    </xdr:to>
    <xdr:graphicFrame macro="">
      <xdr:nvGraphicFramePr>
        <xdr:cNvPr id="6" name="תרשים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1751031</xdr:colOff>
      <xdr:row>0</xdr:row>
      <xdr:rowOff>271462</xdr:rowOff>
    </xdr:from>
    <xdr:to>
      <xdr:col>6</xdr:col>
      <xdr:colOff>419781</xdr:colOff>
      <xdr:row>9</xdr:row>
      <xdr:rowOff>75862</xdr:rowOff>
    </xdr:to>
    <xdr:graphicFrame macro="">
      <xdr:nvGraphicFramePr>
        <xdr:cNvPr id="7" name="תרשים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104775</xdr:rowOff>
    </xdr:from>
    <xdr:to>
      <xdr:col>0</xdr:col>
      <xdr:colOff>457199</xdr:colOff>
      <xdr:row>1</xdr:row>
      <xdr:rowOff>104774</xdr:rowOff>
    </xdr:to>
    <xdr:pic>
      <xdr:nvPicPr>
        <xdr:cNvPr id="2" name="תמונה 1" descr="House on WhatsApp 2.23.2.7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4757801" y="104775"/>
          <a:ext cx="361949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105949</xdr:colOff>
      <xdr:row>0</xdr:row>
      <xdr:rowOff>343580</xdr:rowOff>
    </xdr:from>
    <xdr:to>
      <xdr:col>4</xdr:col>
      <xdr:colOff>2006374</xdr:colOff>
      <xdr:row>9</xdr:row>
      <xdr:rowOff>147980</xdr:rowOff>
    </xdr:to>
    <xdr:graphicFrame macro="">
      <xdr:nvGraphicFramePr>
        <xdr:cNvPr id="6" name="תרשים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188931</xdr:colOff>
      <xdr:row>0</xdr:row>
      <xdr:rowOff>343580</xdr:rowOff>
    </xdr:from>
    <xdr:to>
      <xdr:col>7</xdr:col>
      <xdr:colOff>1658031</xdr:colOff>
      <xdr:row>9</xdr:row>
      <xdr:rowOff>147980</xdr:rowOff>
    </xdr:to>
    <xdr:graphicFrame macro="">
      <xdr:nvGraphicFramePr>
        <xdr:cNvPr id="7" name="תרשים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123825</xdr:rowOff>
    </xdr:from>
    <xdr:to>
      <xdr:col>0</xdr:col>
      <xdr:colOff>476249</xdr:colOff>
      <xdr:row>2</xdr:row>
      <xdr:rowOff>123824</xdr:rowOff>
    </xdr:to>
    <xdr:pic>
      <xdr:nvPicPr>
        <xdr:cNvPr id="2" name="תמונה 1" descr="House on WhatsApp 2.23.2.7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2043176" y="123825"/>
          <a:ext cx="361949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1</xdr:col>
      <xdr:colOff>581026</xdr:colOff>
      <xdr:row>0</xdr:row>
      <xdr:rowOff>85726</xdr:rowOff>
    </xdr:from>
    <xdr:to>
      <xdr:col>3</xdr:col>
      <xdr:colOff>1143002</xdr:colOff>
      <xdr:row>7</xdr:row>
      <xdr:rowOff>76200</xdr:rowOff>
    </xdr:to>
    <xdr:graphicFrame macro="">
      <xdr:nvGraphicFramePr>
        <xdr:cNvPr id="5" name="תרשים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704850</xdr:colOff>
      <xdr:row>0</xdr:row>
      <xdr:rowOff>95250</xdr:rowOff>
    </xdr:from>
    <xdr:to>
      <xdr:col>7</xdr:col>
      <xdr:colOff>1266826</xdr:colOff>
      <xdr:row>7</xdr:row>
      <xdr:rowOff>85724</xdr:rowOff>
    </xdr:to>
    <xdr:graphicFrame macro="">
      <xdr:nvGraphicFramePr>
        <xdr:cNvPr id="6" name="תרשים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257176</xdr:colOff>
      <xdr:row>0</xdr:row>
      <xdr:rowOff>76200</xdr:rowOff>
    </xdr:from>
    <xdr:to>
      <xdr:col>13</xdr:col>
      <xdr:colOff>1352550</xdr:colOff>
      <xdr:row>7</xdr:row>
      <xdr:rowOff>142875</xdr:rowOff>
    </xdr:to>
    <xdr:graphicFrame macro="">
      <xdr:nvGraphicFramePr>
        <xdr:cNvPr id="7" name="תרשים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370116</xdr:colOff>
      <xdr:row>1</xdr:row>
      <xdr:rowOff>34018</xdr:rowOff>
    </xdr:from>
    <xdr:to>
      <xdr:col>12</xdr:col>
      <xdr:colOff>323850</xdr:colOff>
      <xdr:row>17</xdr:row>
      <xdr:rowOff>152400</xdr:rowOff>
    </xdr:to>
    <xdr:graphicFrame macro="">
      <xdr:nvGraphicFramePr>
        <xdr:cNvPr id="4" name="תרשים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57150</xdr:rowOff>
    </xdr:from>
    <xdr:to>
      <xdr:col>0</xdr:col>
      <xdr:colOff>504824</xdr:colOff>
      <xdr:row>2</xdr:row>
      <xdr:rowOff>57149</xdr:rowOff>
    </xdr:to>
    <xdr:pic>
      <xdr:nvPicPr>
        <xdr:cNvPr id="2" name="תמונה 1" descr="House on WhatsApp 2.23.2.7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7080651" y="57150"/>
          <a:ext cx="361949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133350</xdr:rowOff>
    </xdr:from>
    <xdr:to>
      <xdr:col>0</xdr:col>
      <xdr:colOff>485774</xdr:colOff>
      <xdr:row>2</xdr:row>
      <xdr:rowOff>133349</xdr:rowOff>
    </xdr:to>
    <xdr:pic>
      <xdr:nvPicPr>
        <xdr:cNvPr id="2" name="תמונה 1" descr="House on WhatsApp 2.23.2.7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6605651" y="133350"/>
          <a:ext cx="361949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28575</xdr:colOff>
      <xdr:row>1</xdr:row>
      <xdr:rowOff>38100</xdr:rowOff>
    </xdr:from>
    <xdr:to>
      <xdr:col>7</xdr:col>
      <xdr:colOff>28575</xdr:colOff>
      <xdr:row>17</xdr:row>
      <xdr:rowOff>16329</xdr:rowOff>
    </xdr:to>
    <xdr:graphicFrame macro="">
      <xdr:nvGraphicFramePr>
        <xdr:cNvPr id="7" name="תרשים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57150</xdr:rowOff>
    </xdr:from>
    <xdr:to>
      <xdr:col>0</xdr:col>
      <xdr:colOff>457199</xdr:colOff>
      <xdr:row>2</xdr:row>
      <xdr:rowOff>57149</xdr:rowOff>
    </xdr:to>
    <xdr:pic>
      <xdr:nvPicPr>
        <xdr:cNvPr id="2" name="תמונה 1" descr="House on WhatsApp 2.23.2.7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8738001" y="57150"/>
          <a:ext cx="361949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47625</xdr:colOff>
      <xdr:row>0</xdr:row>
      <xdr:rowOff>138112</xdr:rowOff>
    </xdr:from>
    <xdr:to>
      <xdr:col>13</xdr:col>
      <xdr:colOff>257175</xdr:colOff>
      <xdr:row>15</xdr:row>
      <xdr:rowOff>123487</xdr:rowOff>
    </xdr:to>
    <xdr:graphicFrame macro="">
      <xdr:nvGraphicFramePr>
        <xdr:cNvPr id="6" name="תרשים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657225</xdr:colOff>
      <xdr:row>0</xdr:row>
      <xdr:rowOff>138112</xdr:rowOff>
    </xdr:from>
    <xdr:to>
      <xdr:col>8</xdr:col>
      <xdr:colOff>120425</xdr:colOff>
      <xdr:row>15</xdr:row>
      <xdr:rowOff>123487</xdr:rowOff>
    </xdr:to>
    <xdr:graphicFrame macro="">
      <xdr:nvGraphicFramePr>
        <xdr:cNvPr id="7" name="תרשים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57150</xdr:rowOff>
    </xdr:from>
    <xdr:to>
      <xdr:col>0</xdr:col>
      <xdr:colOff>457199</xdr:colOff>
      <xdr:row>2</xdr:row>
      <xdr:rowOff>57149</xdr:rowOff>
    </xdr:to>
    <xdr:pic>
      <xdr:nvPicPr>
        <xdr:cNvPr id="2" name="תמונה 1" descr="House on WhatsApp 2.23.2.7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8738001" y="57150"/>
          <a:ext cx="361949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672874</xdr:colOff>
      <xdr:row>1</xdr:row>
      <xdr:rowOff>112938</xdr:rowOff>
    </xdr:from>
    <xdr:to>
      <xdr:col>7</xdr:col>
      <xdr:colOff>1012372</xdr:colOff>
      <xdr:row>16</xdr:row>
      <xdr:rowOff>98313</xdr:rowOff>
    </xdr:to>
    <xdr:graphicFrame macro="">
      <xdr:nvGraphicFramePr>
        <xdr:cNvPr id="7" name="תרשים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28576</xdr:colOff>
      <xdr:row>1</xdr:row>
      <xdr:rowOff>151038</xdr:rowOff>
    </xdr:from>
    <xdr:to>
      <xdr:col>12</xdr:col>
      <xdr:colOff>2838450</xdr:colOff>
      <xdr:row>16</xdr:row>
      <xdr:rowOff>136413</xdr:rowOff>
    </xdr:to>
    <xdr:graphicFrame macro="">
      <xdr:nvGraphicFramePr>
        <xdr:cNvPr id="8" name="תרשים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</xdr:colOff>
          <xdr:row>2</xdr:row>
          <xdr:rowOff>22860</xdr:rowOff>
        </xdr:from>
        <xdr:to>
          <xdr:col>12</xdr:col>
          <xdr:colOff>731520</xdr:colOff>
          <xdr:row>2</xdr:row>
          <xdr:rowOff>190500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A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שלח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66675</xdr:rowOff>
    </xdr:from>
    <xdr:to>
      <xdr:col>0</xdr:col>
      <xdr:colOff>447674</xdr:colOff>
      <xdr:row>1</xdr:row>
      <xdr:rowOff>238124</xdr:rowOff>
    </xdr:to>
    <xdr:pic>
      <xdr:nvPicPr>
        <xdr:cNvPr id="2" name="תמונה 1" descr="House on WhatsApp 2.23.2.7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0185801" y="66675"/>
          <a:ext cx="361949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0</xdr:col>
      <xdr:colOff>104775</xdr:colOff>
      <xdr:row>1</xdr:row>
      <xdr:rowOff>333375</xdr:rowOff>
    </xdr:from>
    <xdr:to>
      <xdr:col>0</xdr:col>
      <xdr:colOff>752475</xdr:colOff>
      <xdr:row>3</xdr:row>
      <xdr:rowOff>123826</xdr:rowOff>
    </xdr:to>
    <xdr:sp macro="[0]!refreshPrintingSheet" textlink="">
      <xdr:nvSpPr>
        <xdr:cNvPr id="3" name="אליפסה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1239881000" y="523875"/>
          <a:ext cx="647700" cy="409576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18000" tIns="18000" rIns="18000" bIns="18000" rtlCol="1" anchor="ctr"/>
        <a:lstStyle/>
        <a:p>
          <a:pPr algn="ctr" rtl="1"/>
          <a:r>
            <a:rPr lang="he-IL" sz="1100">
              <a:solidFill>
                <a:schemeClr val="accent6">
                  <a:lumMod val="50000"/>
                </a:schemeClr>
              </a:solidFill>
            </a:rPr>
            <a:t>רענון עיצוב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616325</xdr:colOff>
      <xdr:row>31</xdr:row>
      <xdr:rowOff>146798</xdr:rowOff>
    </xdr:from>
    <xdr:to>
      <xdr:col>16</xdr:col>
      <xdr:colOff>608018</xdr:colOff>
      <xdr:row>37</xdr:row>
      <xdr:rowOff>145970</xdr:rowOff>
    </xdr:to>
    <xdr:sp macro="" textlink="">
      <xdr:nvSpPr>
        <xdr:cNvPr id="3" name="מלבן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11196477717" y="6377269"/>
          <a:ext cx="9012429" cy="1074936"/>
        </a:xfrm>
        <a:custGeom>
          <a:avLst/>
          <a:gdLst>
            <a:gd name="connsiteX0" fmla="*/ 0 w 9012429"/>
            <a:gd name="connsiteY0" fmla="*/ 0 h 1074936"/>
            <a:gd name="connsiteX1" fmla="*/ 292904 w 9012429"/>
            <a:gd name="connsiteY1" fmla="*/ 0 h 1074936"/>
            <a:gd name="connsiteX2" fmla="*/ 585808 w 9012429"/>
            <a:gd name="connsiteY2" fmla="*/ 0 h 1074936"/>
            <a:gd name="connsiteX3" fmla="*/ 878712 w 9012429"/>
            <a:gd name="connsiteY3" fmla="*/ 0 h 1074936"/>
            <a:gd name="connsiteX4" fmla="*/ 1622237 w 9012429"/>
            <a:gd name="connsiteY4" fmla="*/ 0 h 1074936"/>
            <a:gd name="connsiteX5" fmla="*/ 2185514 w 9012429"/>
            <a:gd name="connsiteY5" fmla="*/ 0 h 1074936"/>
            <a:gd name="connsiteX6" fmla="*/ 2478418 w 9012429"/>
            <a:gd name="connsiteY6" fmla="*/ 0 h 1074936"/>
            <a:gd name="connsiteX7" fmla="*/ 3041695 w 9012429"/>
            <a:gd name="connsiteY7" fmla="*/ 0 h 1074936"/>
            <a:gd name="connsiteX8" fmla="*/ 3785220 w 9012429"/>
            <a:gd name="connsiteY8" fmla="*/ 0 h 1074936"/>
            <a:gd name="connsiteX9" fmla="*/ 4258373 w 9012429"/>
            <a:gd name="connsiteY9" fmla="*/ 0 h 1074936"/>
            <a:gd name="connsiteX10" fmla="*/ 4731525 w 9012429"/>
            <a:gd name="connsiteY10" fmla="*/ 0 h 1074936"/>
            <a:gd name="connsiteX11" fmla="*/ 5294802 w 9012429"/>
            <a:gd name="connsiteY11" fmla="*/ 0 h 1074936"/>
            <a:gd name="connsiteX12" fmla="*/ 5948203 w 9012429"/>
            <a:gd name="connsiteY12" fmla="*/ 0 h 1074936"/>
            <a:gd name="connsiteX13" fmla="*/ 6601604 w 9012429"/>
            <a:gd name="connsiteY13" fmla="*/ 0 h 1074936"/>
            <a:gd name="connsiteX14" fmla="*/ 7255005 w 9012429"/>
            <a:gd name="connsiteY14" fmla="*/ 0 h 1074936"/>
            <a:gd name="connsiteX15" fmla="*/ 7998531 w 9012429"/>
            <a:gd name="connsiteY15" fmla="*/ 0 h 1074936"/>
            <a:gd name="connsiteX16" fmla="*/ 9012429 w 9012429"/>
            <a:gd name="connsiteY16" fmla="*/ 0 h 1074936"/>
            <a:gd name="connsiteX17" fmla="*/ 9012429 w 9012429"/>
            <a:gd name="connsiteY17" fmla="*/ 548217 h 1074936"/>
            <a:gd name="connsiteX18" fmla="*/ 9012429 w 9012429"/>
            <a:gd name="connsiteY18" fmla="*/ 1074936 h 1074936"/>
            <a:gd name="connsiteX19" fmla="*/ 8268904 w 9012429"/>
            <a:gd name="connsiteY19" fmla="*/ 1074936 h 1074936"/>
            <a:gd name="connsiteX20" fmla="*/ 7705627 w 9012429"/>
            <a:gd name="connsiteY20" fmla="*/ 1074936 h 1074936"/>
            <a:gd name="connsiteX21" fmla="*/ 7232474 w 9012429"/>
            <a:gd name="connsiteY21" fmla="*/ 1074936 h 1074936"/>
            <a:gd name="connsiteX22" fmla="*/ 6759322 w 9012429"/>
            <a:gd name="connsiteY22" fmla="*/ 1074936 h 1074936"/>
            <a:gd name="connsiteX23" fmla="*/ 6286169 w 9012429"/>
            <a:gd name="connsiteY23" fmla="*/ 1074936 h 1074936"/>
            <a:gd name="connsiteX24" fmla="*/ 5813017 w 9012429"/>
            <a:gd name="connsiteY24" fmla="*/ 1074936 h 1074936"/>
            <a:gd name="connsiteX25" fmla="*/ 5159616 w 9012429"/>
            <a:gd name="connsiteY25" fmla="*/ 1074936 h 1074936"/>
            <a:gd name="connsiteX26" fmla="*/ 4596339 w 9012429"/>
            <a:gd name="connsiteY26" fmla="*/ 1074936 h 1074936"/>
            <a:gd name="connsiteX27" fmla="*/ 4303435 w 9012429"/>
            <a:gd name="connsiteY27" fmla="*/ 1074936 h 1074936"/>
            <a:gd name="connsiteX28" fmla="*/ 3830282 w 9012429"/>
            <a:gd name="connsiteY28" fmla="*/ 1074936 h 1074936"/>
            <a:gd name="connsiteX29" fmla="*/ 3176881 w 9012429"/>
            <a:gd name="connsiteY29" fmla="*/ 1074936 h 1074936"/>
            <a:gd name="connsiteX30" fmla="*/ 2793853 w 9012429"/>
            <a:gd name="connsiteY30" fmla="*/ 1074936 h 1074936"/>
            <a:gd name="connsiteX31" fmla="*/ 2050328 w 9012429"/>
            <a:gd name="connsiteY31" fmla="*/ 1074936 h 1074936"/>
            <a:gd name="connsiteX32" fmla="*/ 1306802 w 9012429"/>
            <a:gd name="connsiteY32" fmla="*/ 1074936 h 1074936"/>
            <a:gd name="connsiteX33" fmla="*/ 743525 w 9012429"/>
            <a:gd name="connsiteY33" fmla="*/ 1074936 h 1074936"/>
            <a:gd name="connsiteX34" fmla="*/ 0 w 9012429"/>
            <a:gd name="connsiteY34" fmla="*/ 1074936 h 1074936"/>
            <a:gd name="connsiteX35" fmla="*/ 0 w 9012429"/>
            <a:gd name="connsiteY35" fmla="*/ 537468 h 1074936"/>
            <a:gd name="connsiteX36" fmla="*/ 0 w 9012429"/>
            <a:gd name="connsiteY36" fmla="*/ 0 h 1074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9012429" h="1074936" fill="none" extrusionOk="0">
              <a:moveTo>
                <a:pt x="0" y="0"/>
              </a:moveTo>
              <a:cubicBezTo>
                <a:pt x="109445" y="-19005"/>
                <a:pt x="165267" y="21474"/>
                <a:pt x="292904" y="0"/>
              </a:cubicBezTo>
              <a:cubicBezTo>
                <a:pt x="420541" y="-21474"/>
                <a:pt x="520230" y="23718"/>
                <a:pt x="585808" y="0"/>
              </a:cubicBezTo>
              <a:cubicBezTo>
                <a:pt x="651386" y="-23718"/>
                <a:pt x="798027" y="32949"/>
                <a:pt x="878712" y="0"/>
              </a:cubicBezTo>
              <a:cubicBezTo>
                <a:pt x="959397" y="-32949"/>
                <a:pt x="1431470" y="26451"/>
                <a:pt x="1622237" y="0"/>
              </a:cubicBezTo>
              <a:cubicBezTo>
                <a:pt x="1813004" y="-26451"/>
                <a:pt x="2060314" y="34665"/>
                <a:pt x="2185514" y="0"/>
              </a:cubicBezTo>
              <a:cubicBezTo>
                <a:pt x="2310714" y="-34665"/>
                <a:pt x="2357864" y="27129"/>
                <a:pt x="2478418" y="0"/>
              </a:cubicBezTo>
              <a:cubicBezTo>
                <a:pt x="2598972" y="-27129"/>
                <a:pt x="2765881" y="58215"/>
                <a:pt x="3041695" y="0"/>
              </a:cubicBezTo>
              <a:cubicBezTo>
                <a:pt x="3317509" y="-58215"/>
                <a:pt x="3490241" y="55183"/>
                <a:pt x="3785220" y="0"/>
              </a:cubicBezTo>
              <a:cubicBezTo>
                <a:pt x="4080200" y="-55183"/>
                <a:pt x="4063327" y="21048"/>
                <a:pt x="4258373" y="0"/>
              </a:cubicBezTo>
              <a:cubicBezTo>
                <a:pt x="4453419" y="-21048"/>
                <a:pt x="4623674" y="46309"/>
                <a:pt x="4731525" y="0"/>
              </a:cubicBezTo>
              <a:cubicBezTo>
                <a:pt x="4839376" y="-46309"/>
                <a:pt x="5111637" y="42195"/>
                <a:pt x="5294802" y="0"/>
              </a:cubicBezTo>
              <a:cubicBezTo>
                <a:pt x="5477967" y="-42195"/>
                <a:pt x="5693821" y="13666"/>
                <a:pt x="5948203" y="0"/>
              </a:cubicBezTo>
              <a:cubicBezTo>
                <a:pt x="6202585" y="-13666"/>
                <a:pt x="6326730" y="52898"/>
                <a:pt x="6601604" y="0"/>
              </a:cubicBezTo>
              <a:cubicBezTo>
                <a:pt x="6876478" y="-52898"/>
                <a:pt x="6946918" y="30384"/>
                <a:pt x="7255005" y="0"/>
              </a:cubicBezTo>
              <a:cubicBezTo>
                <a:pt x="7563092" y="-30384"/>
                <a:pt x="7742182" y="58077"/>
                <a:pt x="7998531" y="0"/>
              </a:cubicBezTo>
              <a:cubicBezTo>
                <a:pt x="8254880" y="-58077"/>
                <a:pt x="8622281" y="22479"/>
                <a:pt x="9012429" y="0"/>
              </a:cubicBezTo>
              <a:cubicBezTo>
                <a:pt x="9024275" y="167944"/>
                <a:pt x="8954314" y="423757"/>
                <a:pt x="9012429" y="548217"/>
              </a:cubicBezTo>
              <a:cubicBezTo>
                <a:pt x="9070544" y="672677"/>
                <a:pt x="8996678" y="869806"/>
                <a:pt x="9012429" y="1074936"/>
              </a:cubicBezTo>
              <a:cubicBezTo>
                <a:pt x="8792685" y="1081185"/>
                <a:pt x="8628602" y="1058856"/>
                <a:pt x="8268904" y="1074936"/>
              </a:cubicBezTo>
              <a:cubicBezTo>
                <a:pt x="7909206" y="1091016"/>
                <a:pt x="7953968" y="1054536"/>
                <a:pt x="7705627" y="1074936"/>
              </a:cubicBezTo>
              <a:cubicBezTo>
                <a:pt x="7457286" y="1095336"/>
                <a:pt x="7382963" y="1022373"/>
                <a:pt x="7232474" y="1074936"/>
              </a:cubicBezTo>
              <a:cubicBezTo>
                <a:pt x="7081985" y="1127499"/>
                <a:pt x="6894297" y="1021004"/>
                <a:pt x="6759322" y="1074936"/>
              </a:cubicBezTo>
              <a:cubicBezTo>
                <a:pt x="6624347" y="1128868"/>
                <a:pt x="6459974" y="1020898"/>
                <a:pt x="6286169" y="1074936"/>
              </a:cubicBezTo>
              <a:cubicBezTo>
                <a:pt x="6112364" y="1128974"/>
                <a:pt x="6006170" y="1026820"/>
                <a:pt x="5813017" y="1074936"/>
              </a:cubicBezTo>
              <a:cubicBezTo>
                <a:pt x="5619864" y="1123052"/>
                <a:pt x="5456403" y="1065903"/>
                <a:pt x="5159616" y="1074936"/>
              </a:cubicBezTo>
              <a:cubicBezTo>
                <a:pt x="4862829" y="1083969"/>
                <a:pt x="4748980" y="1069082"/>
                <a:pt x="4596339" y="1074936"/>
              </a:cubicBezTo>
              <a:cubicBezTo>
                <a:pt x="4443698" y="1080790"/>
                <a:pt x="4447189" y="1058246"/>
                <a:pt x="4303435" y="1074936"/>
              </a:cubicBezTo>
              <a:cubicBezTo>
                <a:pt x="4159681" y="1091626"/>
                <a:pt x="4001490" y="1057578"/>
                <a:pt x="3830282" y="1074936"/>
              </a:cubicBezTo>
              <a:cubicBezTo>
                <a:pt x="3659074" y="1092294"/>
                <a:pt x="3326560" y="1021719"/>
                <a:pt x="3176881" y="1074936"/>
              </a:cubicBezTo>
              <a:cubicBezTo>
                <a:pt x="3027202" y="1128153"/>
                <a:pt x="2893947" y="1064481"/>
                <a:pt x="2793853" y="1074936"/>
              </a:cubicBezTo>
              <a:cubicBezTo>
                <a:pt x="2693759" y="1085391"/>
                <a:pt x="2258334" y="1026942"/>
                <a:pt x="2050328" y="1074936"/>
              </a:cubicBezTo>
              <a:cubicBezTo>
                <a:pt x="1842323" y="1122930"/>
                <a:pt x="1626874" y="1051638"/>
                <a:pt x="1306802" y="1074936"/>
              </a:cubicBezTo>
              <a:cubicBezTo>
                <a:pt x="986730" y="1098234"/>
                <a:pt x="1008781" y="1052605"/>
                <a:pt x="743525" y="1074936"/>
              </a:cubicBezTo>
              <a:cubicBezTo>
                <a:pt x="478269" y="1097267"/>
                <a:pt x="158630" y="1045473"/>
                <a:pt x="0" y="1074936"/>
              </a:cubicBezTo>
              <a:cubicBezTo>
                <a:pt x="-62939" y="957746"/>
                <a:pt x="20270" y="791193"/>
                <a:pt x="0" y="537468"/>
              </a:cubicBezTo>
              <a:cubicBezTo>
                <a:pt x="-20270" y="283743"/>
                <a:pt x="53545" y="182716"/>
                <a:pt x="0" y="0"/>
              </a:cubicBezTo>
              <a:close/>
            </a:path>
            <a:path w="9012429" h="1074936" stroke="0" extrusionOk="0">
              <a:moveTo>
                <a:pt x="0" y="0"/>
              </a:moveTo>
              <a:cubicBezTo>
                <a:pt x="130025" y="-36756"/>
                <a:pt x="245982" y="50716"/>
                <a:pt x="473153" y="0"/>
              </a:cubicBezTo>
              <a:cubicBezTo>
                <a:pt x="700324" y="-50716"/>
                <a:pt x="661318" y="33793"/>
                <a:pt x="766056" y="0"/>
              </a:cubicBezTo>
              <a:cubicBezTo>
                <a:pt x="870794" y="-33793"/>
                <a:pt x="1223733" y="20705"/>
                <a:pt x="1509582" y="0"/>
              </a:cubicBezTo>
              <a:cubicBezTo>
                <a:pt x="1795431" y="-20705"/>
                <a:pt x="1781247" y="15504"/>
                <a:pt x="1982734" y="0"/>
              </a:cubicBezTo>
              <a:cubicBezTo>
                <a:pt x="2184221" y="-15504"/>
                <a:pt x="2288885" y="30262"/>
                <a:pt x="2455887" y="0"/>
              </a:cubicBezTo>
              <a:cubicBezTo>
                <a:pt x="2622889" y="-30262"/>
                <a:pt x="3033481" y="59338"/>
                <a:pt x="3199412" y="0"/>
              </a:cubicBezTo>
              <a:cubicBezTo>
                <a:pt x="3365344" y="-59338"/>
                <a:pt x="3432137" y="33928"/>
                <a:pt x="3582441" y="0"/>
              </a:cubicBezTo>
              <a:cubicBezTo>
                <a:pt x="3732745" y="-33928"/>
                <a:pt x="4148472" y="72240"/>
                <a:pt x="4325966" y="0"/>
              </a:cubicBezTo>
              <a:cubicBezTo>
                <a:pt x="4503461" y="-72240"/>
                <a:pt x="4867299" y="57592"/>
                <a:pt x="5069491" y="0"/>
              </a:cubicBezTo>
              <a:cubicBezTo>
                <a:pt x="5271683" y="-57592"/>
                <a:pt x="5478274" y="64150"/>
                <a:pt x="5632768" y="0"/>
              </a:cubicBezTo>
              <a:cubicBezTo>
                <a:pt x="5787262" y="-64150"/>
                <a:pt x="6073311" y="55326"/>
                <a:pt x="6376294" y="0"/>
              </a:cubicBezTo>
              <a:cubicBezTo>
                <a:pt x="6679277" y="-55326"/>
                <a:pt x="6688026" y="43366"/>
                <a:pt x="6849446" y="0"/>
              </a:cubicBezTo>
              <a:cubicBezTo>
                <a:pt x="7010866" y="-43366"/>
                <a:pt x="7130099" y="39965"/>
                <a:pt x="7322599" y="0"/>
              </a:cubicBezTo>
              <a:cubicBezTo>
                <a:pt x="7515099" y="-39965"/>
                <a:pt x="7662476" y="21595"/>
                <a:pt x="7976000" y="0"/>
              </a:cubicBezTo>
              <a:cubicBezTo>
                <a:pt x="8289524" y="-21595"/>
                <a:pt x="8226981" y="11679"/>
                <a:pt x="8449152" y="0"/>
              </a:cubicBezTo>
              <a:cubicBezTo>
                <a:pt x="8671323" y="-11679"/>
                <a:pt x="8889699" y="54398"/>
                <a:pt x="9012429" y="0"/>
              </a:cubicBezTo>
              <a:cubicBezTo>
                <a:pt x="9024414" y="184438"/>
                <a:pt x="9011455" y="373107"/>
                <a:pt x="9012429" y="558967"/>
              </a:cubicBezTo>
              <a:cubicBezTo>
                <a:pt x="9013403" y="744827"/>
                <a:pt x="8975091" y="835203"/>
                <a:pt x="9012429" y="1074936"/>
              </a:cubicBezTo>
              <a:cubicBezTo>
                <a:pt x="8808798" y="1131983"/>
                <a:pt x="8515251" y="1056060"/>
                <a:pt x="8359028" y="1074936"/>
              </a:cubicBezTo>
              <a:cubicBezTo>
                <a:pt x="8202805" y="1093812"/>
                <a:pt x="8055482" y="1038103"/>
                <a:pt x="7976000" y="1074936"/>
              </a:cubicBezTo>
              <a:cubicBezTo>
                <a:pt x="7896518" y="1111769"/>
                <a:pt x="7419545" y="990600"/>
                <a:pt x="7232474" y="1074936"/>
              </a:cubicBezTo>
              <a:cubicBezTo>
                <a:pt x="7045403" y="1159272"/>
                <a:pt x="6935799" y="1046010"/>
                <a:pt x="6669197" y="1074936"/>
              </a:cubicBezTo>
              <a:cubicBezTo>
                <a:pt x="6402595" y="1103862"/>
                <a:pt x="6367024" y="1054517"/>
                <a:pt x="6286169" y="1074936"/>
              </a:cubicBezTo>
              <a:cubicBezTo>
                <a:pt x="6205314" y="1095355"/>
                <a:pt x="5937045" y="1063597"/>
                <a:pt x="5722892" y="1074936"/>
              </a:cubicBezTo>
              <a:cubicBezTo>
                <a:pt x="5508739" y="1086275"/>
                <a:pt x="5547340" y="1046486"/>
                <a:pt x="5429988" y="1074936"/>
              </a:cubicBezTo>
              <a:cubicBezTo>
                <a:pt x="5312636" y="1103386"/>
                <a:pt x="5227367" y="1073313"/>
                <a:pt x="5137085" y="1074936"/>
              </a:cubicBezTo>
              <a:cubicBezTo>
                <a:pt x="5046803" y="1076559"/>
                <a:pt x="4760932" y="1014469"/>
                <a:pt x="4573808" y="1074936"/>
              </a:cubicBezTo>
              <a:cubicBezTo>
                <a:pt x="4386684" y="1135403"/>
                <a:pt x="4369313" y="1057946"/>
                <a:pt x="4190779" y="1074936"/>
              </a:cubicBezTo>
              <a:cubicBezTo>
                <a:pt x="4012245" y="1091926"/>
                <a:pt x="3832100" y="1020717"/>
                <a:pt x="3537378" y="1074936"/>
              </a:cubicBezTo>
              <a:cubicBezTo>
                <a:pt x="3242656" y="1129155"/>
                <a:pt x="3236884" y="1042413"/>
                <a:pt x="3154350" y="1074936"/>
              </a:cubicBezTo>
              <a:cubicBezTo>
                <a:pt x="3071816" y="1107459"/>
                <a:pt x="2780940" y="1004103"/>
                <a:pt x="2500949" y="1074936"/>
              </a:cubicBezTo>
              <a:cubicBezTo>
                <a:pt x="2220958" y="1145769"/>
                <a:pt x="2296737" y="1049448"/>
                <a:pt x="2208045" y="1074936"/>
              </a:cubicBezTo>
              <a:cubicBezTo>
                <a:pt x="2119353" y="1100424"/>
                <a:pt x="1770668" y="1017212"/>
                <a:pt x="1554644" y="1074936"/>
              </a:cubicBezTo>
              <a:cubicBezTo>
                <a:pt x="1338620" y="1132660"/>
                <a:pt x="1325736" y="1065779"/>
                <a:pt x="1171616" y="1074936"/>
              </a:cubicBezTo>
              <a:cubicBezTo>
                <a:pt x="1017496" y="1084093"/>
                <a:pt x="985037" y="1066711"/>
                <a:pt x="878712" y="1074936"/>
              </a:cubicBezTo>
              <a:cubicBezTo>
                <a:pt x="772387" y="1083161"/>
                <a:pt x="651728" y="1062543"/>
                <a:pt x="495684" y="1074936"/>
              </a:cubicBezTo>
              <a:cubicBezTo>
                <a:pt x="339640" y="1087329"/>
                <a:pt x="127532" y="1072592"/>
                <a:pt x="0" y="1074936"/>
              </a:cubicBezTo>
              <a:cubicBezTo>
                <a:pt x="-2494" y="869868"/>
                <a:pt x="23721" y="683957"/>
                <a:pt x="0" y="558967"/>
              </a:cubicBezTo>
              <a:cubicBezTo>
                <a:pt x="-23721" y="433977"/>
                <a:pt x="50181" y="217097"/>
                <a:pt x="0" y="0"/>
              </a:cubicBezTo>
              <a:close/>
            </a:path>
          </a:pathLst>
        </a:custGeom>
        <a:solidFill>
          <a:srgbClr val="FF9966"/>
        </a:solidFill>
        <a:ln w="63500">
          <a:solidFill>
            <a:srgbClr val="FF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he-IL" sz="1800" b="1">
              <a:solidFill>
                <a:srgbClr val="002060"/>
              </a:solidFill>
            </a:rPr>
            <a:t>לא לשנות דברים בגיליון זה ללא וידוא של 1,000%</a:t>
          </a:r>
          <a:r>
            <a:rPr lang="he-IL" sz="1800" b="1" baseline="0">
              <a:solidFill>
                <a:srgbClr val="002060"/>
              </a:solidFill>
            </a:rPr>
            <a:t> שזה לא דופק כלום!</a:t>
          </a:r>
        </a:p>
        <a:p>
          <a:pPr algn="ctr" rtl="1"/>
          <a:r>
            <a:rPr lang="he-IL" sz="1800" b="1" baseline="0">
              <a:solidFill>
                <a:srgbClr val="002060"/>
              </a:solidFill>
            </a:rPr>
            <a:t>אפילו </a:t>
          </a:r>
          <a:r>
            <a:rPr lang="he-IL" sz="1800" b="1" baseline="0">
              <a:solidFill>
                <a:srgbClr val="FFFF00"/>
              </a:solidFill>
            </a:rPr>
            <a:t>הוספה / הזזה של עמודה או תא </a:t>
          </a:r>
          <a:r>
            <a:rPr lang="he-IL" sz="1800" b="1" baseline="0">
              <a:solidFill>
                <a:srgbClr val="002060"/>
              </a:solidFill>
            </a:rPr>
            <a:t>יכולה להזיק בצורה שתשפיע מאוד ותתגלה רק בעתיד.</a:t>
          </a:r>
          <a:br>
            <a:rPr lang="en-US" sz="1800" b="1" baseline="0">
              <a:solidFill>
                <a:srgbClr val="002060"/>
              </a:solidFill>
            </a:rPr>
          </a:br>
          <a:r>
            <a:rPr lang="he-IL" sz="1800" b="1" baseline="0">
              <a:solidFill>
                <a:srgbClr val="002060"/>
              </a:solidFill>
            </a:rPr>
            <a:t>יש הרבה תלות בכל חלק. גם בנוסחאות, גם בקוד, וגם במנהל שמות.</a:t>
          </a:r>
          <a:br>
            <a:rPr lang="en-US" sz="1800" b="1" baseline="0">
              <a:solidFill>
                <a:srgbClr val="002060"/>
              </a:solidFill>
            </a:rPr>
          </a:br>
          <a:r>
            <a:rPr lang="he-IL" sz="1800" b="1" baseline="0">
              <a:solidFill>
                <a:srgbClr val="002060"/>
              </a:solidFill>
            </a:rPr>
            <a:t>הנתונים בגיליון נפרשים גם לאורך וגם לרוחב.</a:t>
          </a:r>
          <a:endParaRPr lang="he-IL" sz="1800" b="1">
            <a:solidFill>
              <a:srgbClr val="002060"/>
            </a:solidFill>
          </a:endParaRPr>
        </a:p>
      </xdr:txBody>
    </xdr:sp>
    <xdr:clientData/>
  </xdr:twoCellAnchor>
  <xdr:twoCellAnchor>
    <xdr:from>
      <xdr:col>3</xdr:col>
      <xdr:colOff>22411</xdr:colOff>
      <xdr:row>18</xdr:row>
      <xdr:rowOff>0</xdr:rowOff>
    </xdr:from>
    <xdr:to>
      <xdr:col>4</xdr:col>
      <xdr:colOff>280146</xdr:colOff>
      <xdr:row>20</xdr:row>
      <xdr:rowOff>78441</xdr:rowOff>
    </xdr:to>
    <xdr:sp macro="[0]!OpenHelpFileForEditing" textlink="">
      <xdr:nvSpPr>
        <xdr:cNvPr id="2" name="מלבן: מסגרת משופעת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1205826324" y="3260912"/>
          <a:ext cx="941294" cy="437029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ctr" rtl="1"/>
          <a:r>
            <a:rPr lang="he-IL" sz="1100"/>
            <a:t>פתח</a:t>
          </a:r>
        </a:p>
      </xdr:txBody>
    </xdr:sp>
    <xdr:clientData/>
  </xdr:twoCellAnchor>
  <xdr:twoCellAnchor editAs="absolute">
    <xdr:from>
      <xdr:col>30</xdr:col>
      <xdr:colOff>106456</xdr:colOff>
      <xdr:row>20</xdr:row>
      <xdr:rowOff>140073</xdr:rowOff>
    </xdr:from>
    <xdr:to>
      <xdr:col>31</xdr:col>
      <xdr:colOff>532281</xdr:colOff>
      <xdr:row>27</xdr:row>
      <xdr:rowOff>95250</xdr:rowOff>
    </xdr:to>
    <xdr:grpSp>
      <xdr:nvGrpSpPr>
        <xdr:cNvPr id="9" name="קבוצה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pSpPr/>
      </xdr:nvGrpSpPr>
      <xdr:grpSpPr>
        <a:xfrm>
          <a:off x="11000407931" y="4622426"/>
          <a:ext cx="1420907" cy="1210236"/>
          <a:chOff x="11183083984" y="4779308"/>
          <a:chExt cx="1411942" cy="1221442"/>
        </a:xfrm>
      </xdr:grpSpPr>
      <xdr:sp macro="[0]!stopEvents" textlink="">
        <xdr:nvSpPr>
          <xdr:cNvPr id="5" name="שווה ל 4">
            <a:extLst>
              <a:ext uri="{FF2B5EF4-FFF2-40B4-BE49-F238E27FC236}">
                <a16:creationId xmlns:a16="http://schemas.microsoft.com/office/drawing/2014/main" id="{00000000-0008-0000-1400-000005000000}"/>
              </a:ext>
            </a:extLst>
          </xdr:cNvPr>
          <xdr:cNvSpPr/>
        </xdr:nvSpPr>
        <xdr:spPr>
          <a:xfrm rot="5400000">
            <a:off x="11183179234" y="4684058"/>
            <a:ext cx="1221442" cy="1411942"/>
          </a:xfrm>
          <a:prstGeom prst="mathEqual">
            <a:avLst>
              <a:gd name="adj1" fmla="val 29076"/>
              <a:gd name="adj2" fmla="val 11760"/>
            </a:avLst>
          </a:prstGeom>
          <a:effectLst>
            <a:glow rad="228600">
              <a:schemeClr val="accent2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 prst="convex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he-IL" sz="1100">
              <a:solidFill>
                <a:schemeClr val="tx1"/>
              </a:solidFill>
            </a:endParaRPr>
          </a:p>
        </xdr:txBody>
      </xdr:sp>
      <xdr:sp macro="[0]!stopEvents" textlink="">
        <xdr:nvSpPr>
          <xdr:cNvPr id="7" name="תיבת טקסט 6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 txBox="1"/>
        </xdr:nvSpPr>
        <xdr:spPr>
          <a:xfrm>
            <a:off x="11183179237" y="4908177"/>
            <a:ext cx="1187822" cy="952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1" anchor="ctr"/>
          <a:lstStyle/>
          <a:p>
            <a:pPr algn="ctr" rtl="1"/>
            <a:r>
              <a:rPr lang="he-IL" sz="1400" b="1">
                <a:effectLst>
                  <a:glow rad="228600">
                    <a:schemeClr val="bg1">
                      <a:alpha val="40000"/>
                    </a:schemeClr>
                  </a:glow>
                </a:effectLst>
              </a:rPr>
              <a:t>השהיית אירועים</a:t>
            </a:r>
            <a:br>
              <a:rPr lang="en-US" sz="1400" b="1">
                <a:effectLst>
                  <a:glow rad="228600">
                    <a:schemeClr val="bg1">
                      <a:alpha val="40000"/>
                    </a:schemeClr>
                  </a:glow>
                </a:effectLst>
              </a:rPr>
            </a:br>
            <a:r>
              <a:rPr lang="he-IL" sz="1400" b="1">
                <a:effectLst>
                  <a:glow rad="228600">
                    <a:schemeClr val="bg1">
                      <a:alpha val="40000"/>
                    </a:schemeClr>
                  </a:glow>
                </a:effectLst>
              </a:rPr>
              <a:t>(לזכור</a:t>
            </a:r>
            <a:r>
              <a:rPr lang="he-IL" sz="1400" b="1" baseline="0">
                <a:effectLst>
                  <a:glow rad="228600">
                    <a:schemeClr val="bg1">
                      <a:alpha val="40000"/>
                    </a:schemeClr>
                  </a:glow>
                </a:effectLst>
              </a:rPr>
              <a:t> להחזיר!)</a:t>
            </a:r>
            <a:endParaRPr lang="he-IL" sz="1400" b="1">
              <a:effectLst>
                <a:glow rad="228600">
                  <a:schemeClr val="bg1">
                    <a:alpha val="40000"/>
                  </a:schemeClr>
                </a:glow>
              </a:effectLst>
            </a:endParaRPr>
          </a:p>
        </xdr:txBody>
      </xdr:sp>
    </xdr:grpSp>
    <xdr:clientData/>
  </xdr:twoCellAnchor>
  <xdr:twoCellAnchor editAs="absolute">
    <xdr:from>
      <xdr:col>28</xdr:col>
      <xdr:colOff>627530</xdr:colOff>
      <xdr:row>21</xdr:row>
      <xdr:rowOff>67236</xdr:rowOff>
    </xdr:from>
    <xdr:to>
      <xdr:col>29</xdr:col>
      <xdr:colOff>717173</xdr:colOff>
      <xdr:row>26</xdr:row>
      <xdr:rowOff>156885</xdr:rowOff>
    </xdr:to>
    <xdr:grpSp>
      <xdr:nvGrpSpPr>
        <xdr:cNvPr id="10" name="קבוצה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pSpPr/>
      </xdr:nvGrpSpPr>
      <xdr:grpSpPr>
        <a:xfrm>
          <a:off x="11002213204" y="4728883"/>
          <a:ext cx="1084725" cy="986120"/>
          <a:chOff x="11185218709" y="4896971"/>
          <a:chExt cx="1075761" cy="986120"/>
        </a:xfrm>
      </xdr:grpSpPr>
      <xdr:sp macro="[0]!continueEvents" textlink="">
        <xdr:nvSpPr>
          <xdr:cNvPr id="6" name="תרשים זרימה: חילוץ 5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SpPr/>
        </xdr:nvSpPr>
        <xdr:spPr>
          <a:xfrm rot="5400000">
            <a:off x="11185269131" y="4857752"/>
            <a:ext cx="986120" cy="1064558"/>
          </a:xfrm>
          <a:prstGeom prst="flowChartExtract">
            <a:avLst/>
          </a:prstGeom>
          <a:effectLst>
            <a:glow rad="228600">
              <a:schemeClr val="accent6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 prst="convex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he-IL" sz="1100"/>
          </a:p>
        </xdr:txBody>
      </xdr:sp>
      <xdr:sp macro="[0]!continueEvents" textlink="">
        <xdr:nvSpPr>
          <xdr:cNvPr id="8" name="תיבת טקסט 7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SpPr txBox="1"/>
        </xdr:nvSpPr>
        <xdr:spPr>
          <a:xfrm>
            <a:off x="11185218709" y="5065060"/>
            <a:ext cx="750791" cy="6835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1" anchor="ctr"/>
          <a:lstStyle/>
          <a:p>
            <a:pPr algn="ctr" rtl="1"/>
            <a:r>
              <a:rPr lang="he-IL" sz="1400" b="1">
                <a:effectLst>
                  <a:glow rad="228600">
                    <a:schemeClr val="bg1">
                      <a:alpha val="40000"/>
                    </a:schemeClr>
                  </a:glow>
                </a:effectLst>
              </a:rPr>
              <a:t>החזרת אירועים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CCA687-DEA0-4431-9467-6ED557AB74B9}" name="tbEmploDetails" displayName="tbEmploDetails" ref="A1:AQ70" totalsRowShown="0" headerRowDxfId="87">
  <autoFilter ref="A1:AQ70" xr:uid="{7ACCA687-DEA0-4431-9467-6ED557AB74B9}"/>
  <tableColumns count="43">
    <tableColumn id="1" xr3:uid="{B83BCFDA-32F0-4EBF-B773-8B7C5C880640}" name="שם משפחה"/>
    <tableColumn id="2" xr3:uid="{941F69A8-C006-4DE7-9F4D-B330A4DE1B9B}" name="שם פרטי"/>
    <tableColumn id="21" xr3:uid="{4933ECFD-8DA9-411E-A60E-F9C4E6D55100}" name="שם מלא" dataDxfId="86">
      <calculatedColumnFormula>TRIM(tbEmploDetails[[#This Row],[שם משפחה]])&amp;" "&amp;TRIM(tbEmploDetails[[#This Row],[שם פרטי]])</calculatedColumnFormula>
    </tableColumn>
    <tableColumn id="3" xr3:uid="{863BB363-EF10-4F57-80CB-B0E97C46A419}" name="מס' זהות" dataDxfId="85"/>
    <tableColumn id="4" xr3:uid="{585C60DC-2EEE-4625-AFED-FD58ABE31C86}" name="מס' טלפון"/>
    <tableColumn id="29" xr3:uid="{5C975599-0F47-4AF4-B186-AB860C9436F9}" name="כתובת מייל"/>
    <tableColumn id="5" xr3:uid="{7D105727-2218-45E5-A8CB-A7B64D191AE4}" name="כתובת - רחוב">
      <calculatedColumnFormula>TRIM(tbEmploDetails[[#This Row],[כתובת - שם רחוב]]&amp;" "&amp;tbEmploDetails[[#This Row],[כתובת - מס'' רחוב]])</calculatedColumnFormula>
    </tableColumn>
    <tableColumn id="6" xr3:uid="{01F7DA42-69A4-42DD-A15B-D00921CF4BB1}" name="כתובת - שכונה/ישוב"/>
    <tableColumn id="7" xr3:uid="{B5955C00-6CF9-4646-AE78-C4BC8408CEAA}" name="האם פעיל" dataDxfId="84"/>
    <tableColumn id="22" xr3:uid="{89C70E12-77D8-45D5-9B23-82E5FA4C24EF}" name="איש קשר-טלפון"/>
    <tableColumn id="25" xr3:uid="{1888A61E-92FF-45C0-B477-3D908CDC0F42}" name="איש קשר-כתובת"/>
    <tableColumn id="26" xr3:uid="{8D624423-BCFE-4F41-AD57-BCC3ECB738CF}" name="איש קשר-שם">
      <calculatedColumnFormula>TRIM(tbEmploDetails[[#This Row],[איש קשר - שם מלא]] &amp; " (" &amp; tbEmploDetails[[#This Row],[איש קשר - טיב קשר]] &amp; ")")</calculatedColumnFormula>
    </tableColumn>
    <tableColumn id="12" xr3:uid="{E60CE087-972D-44C3-9645-F18FC534E4DF}" name="תאריך תחילת תעסוקה נוכחית" dataDxfId="23"/>
    <tableColumn id="27" xr3:uid="{C6D0B66D-23AD-4919-B87C-1409D617B51A}" name="מס' ימים בעבודה" dataDxfId="83">
      <calculatedColumnFormula>IF(tbEmploDetails[[#This Row],[תאריך תחילת תעסוקה נוכחית]],TODAY()-tbEmploDetails[[#This Row],[תאריך תחילת תעסוקה נוכחית]],"חסר מידע")</calculatedColumnFormula>
    </tableColumn>
    <tableColumn id="33" xr3:uid="{C5E051FB-CDDA-49A2-961D-07C312F8C02D}" name="זמן בעבודה קריא" dataDxfId="82">
      <calculatedColumnFormula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calculatedColumnFormula>
    </tableColumn>
    <tableColumn id="8" xr3:uid="{6D75FC0F-C07F-4A20-99FB-6B831F038D99}" name="האם חובש" dataDxfId="81"/>
    <tableColumn id="24" xr3:uid="{D1EE158A-4FAD-46AA-9DE5-2514A2884BF3}" name="תוצאת הבוחן האחרון" dataDxfId="80">
      <calculatedColumnFormula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calculatedColumnFormula>
    </tableColumn>
    <tableColumn id="28" xr3:uid="{551510DD-4A4C-4C85-AFCA-7165DE6B1E36}" name="מס' פעמים שניגש" dataDxfId="79">
      <calculatedColumnFormula>MAX(_xlfn.MAXIFS(tbShetchExam[מס'' פעם], tbShetchExam[נבחן],tbEmploDetails[[#This Row],[שם מלא]]))</calculatedColumnFormula>
    </tableColumn>
    <tableColumn id="10" xr3:uid="{CCC6AF7B-61C8-4B20-91BA-029467101B9E}" name="האם מוסמך ע.שליטה" dataDxfId="78"/>
    <tableColumn id="11" xr3:uid="{2F09B148-F14E-4DFE-89C7-D4B7D23735E7}" name="האם מורשה ע.שליטה"/>
    <tableColumn id="9" xr3:uid="{A724F164-9D0C-427C-956E-3ADC04F1B0DD}" name="תפקיד"/>
    <tableColumn id="13" xr3:uid="{1A47076C-EC53-4149-97A7-511A4E3F7E33}" name="תאריך הצ' בריאות נוכחית" dataDxfId="77"/>
    <tableColumn id="14" xr3:uid="{35E91A16-7459-470A-99AC-37B8AFF754DC}" name="זמן להצ' בריאות באה" dataDxfId="76">
      <calculatedColumnFormula>IF(tbEmploDetails[[#This Row],[תאריך הצ'' בריאות נוכחית]],EDATE(tbEmploDetails[[#This Row],[תאריך הצ'' בריאות נוכחית]],12)-TODAY(),"")</calculatedColumnFormula>
    </tableColumn>
    <tableColumn id="15" xr3:uid="{1735F77A-889A-41E7-A446-307FEB9036D1}" name="מס' איחורים לא כולל חורים" dataDxfId="75">
      <calculatedColumnFormula>COUNTIFS(tbLate[איחור בדק''/חור],"&lt;&gt;חור",tbLate[שם המאחר],tbEmploDetails[[#This Row],[שם מלא]])</calculatedColumnFormula>
    </tableColumn>
    <tableColumn id="23" xr3:uid="{00C7BBB2-5228-43E9-B42B-D8C0893853A9}" name="מס' חורים" dataDxfId="74">
      <calculatedColumnFormula>COUNTIFS(tbLate[איחור בדק''/חור],"חור",tbLate[שם המאחר],tbEmploDetails[[#This Row],[שם מלא]])</calculatedColumnFormula>
    </tableColumn>
    <tableColumn id="16" xr3:uid="{805B7026-4BB7-41FE-B619-F3A00ADE8D63}" name="ממוצע איחורים" dataDxfId="73">
      <calculatedColumnFormula>IFERROR(AVERAGEIFS(tbLate[איחור בדק''/חור],tbLate[שם המאחר],tbEmploDetails[[#This Row],[שם מלא]]),"")</calculatedColumnFormula>
    </tableColumn>
    <tableColumn id="31" xr3:uid="{449E5217-82AC-4E36-8D88-4296B1080CFA}" name="מס' איחורים בחודשיים אחרונים" dataDxfId="72">
      <calculatedColumnFormula>COUNTIFS(tbLate[שם המאחר],tbEmploDetails[[#This Row],[שם מלא]],tbLate[תאריך],"&gt;"&amp;months2AgoCell,tbLate[מס''דק''איחור],"&gt;0")</calculatedColumnFormula>
    </tableColumn>
    <tableColumn id="32" xr3:uid="{2187607B-4460-4D2B-B78C-9FC655CDF57B}" name="מס' חורים בחודשיים אחרונים" dataDxfId="71">
      <calculatedColumnFormula>COUNTIFS(tbLate[שם המאחר],tbEmploDetails[[#This Row],[שם מלא]],tbLate[תאריך],"&gt;"&amp;months2AgoCell,tbLate[האם חור],"&gt;0")</calculatedColumnFormula>
    </tableColumn>
    <tableColumn id="19" xr3:uid="{28968D3C-25DD-4EB0-BB4E-08C209B523C9}" name="מס' ביקורות" dataDxfId="70">
      <calculatedColumnFormula>COUNTIFS(tbPerfReview[מאבטח],tbEmploDetails[[#This Row],[שם מלא]])</calculatedColumnFormula>
    </tableColumn>
    <tableColumn id="20" xr3:uid="{21263300-4965-4E25-A890-FDC629C4BEBB}" name="ציון ממוצע ביקורות" dataDxfId="69">
      <calculatedColumnFormula>IFERROR(AVERAGEIFS(tbPerfReview[ציון],tbPerfReview[מאבטח],tbEmploDetails[[#This Row],[שם מלא]]),"")</calculatedColumnFormula>
    </tableColumn>
    <tableColumn id="34" xr3:uid="{BF5E7142-9E01-4609-ACFE-1C23905A4477}" name="מס' ביקורות בשנה אחרונה" dataDxfId="68">
      <calculatedColumnFormula>COUNTIFS(tbPerfReview[תאריך],"&gt;"&amp;yearAgoCell,tbPerfReview[מאבטח],tbEmploDetails[[#This Row],[שם מלא]])</calculatedColumnFormula>
    </tableColumn>
    <tableColumn id="35" xr3:uid="{C2CE7DB3-2EFD-4B38-9B39-BAEC6B8906F1}" name="ציון ממוצע ביקורות בשנה אחרונה" dataDxfId="67">
      <calculatedColumnFormula>IFERROR(AVERAGEIFS(tbPerfReview[ציון],tbPerfReview[מאבטח],tbEmploDetails[[#This Row],[שם מלא]],tbPerfReview[תאריך],"&gt;="&amp;yearAgoCell),"")</calculatedColumnFormula>
    </tableColumn>
    <tableColumn id="36" xr3:uid="{55B5B70E-B350-4540-A41E-C8BFE9121F5B}" name="עמודה פנויה" dataDxfId="66"/>
    <tableColumn id="17" xr3:uid="{3822AD87-92B8-43E3-8F3B-A1B98D97C59F}" name="מס' תרגילים" dataDxfId="65">
      <calculatedColumnFormula>COUNTIFS(tbDrills[מאבטח],tbEmploDetails[[#This Row],[שם מלא]])</calculatedColumnFormula>
    </tableColumn>
    <tableColumn id="18" xr3:uid="{EFCF5101-71D6-4CCD-BE9A-FAAC8C7E60B9}" name="ציון ממוצע תרגילים" dataDxfId="64">
      <calculatedColumnFormula>IFERROR(AVERAGEIFS(tbDrills[ציון],tbDrills[מאבטח],tbEmploDetails[[#This Row],[שם מלא]]),"")</calculatedColumnFormula>
    </tableColumn>
    <tableColumn id="30" xr3:uid="{DB434C59-2B8E-4AE7-925C-D617447687EB}" name="מס' תרגילים בשנה אחרונה" dataDxfId="63">
      <calculatedColumnFormula>COUNTIFS(tbDrills[תאריך],"&gt;"&amp;yearAgoCell,tbDrills[מאבטח],tbEmploDetails[[#This Row],[שם מלא]])</calculatedColumnFormula>
    </tableColumn>
    <tableColumn id="37" xr3:uid="{985E993F-6320-4C53-BF23-E5DCC3722A8A}" name="ציון ממוצע תרגילים בשנה אחרונה" dataDxfId="62">
      <calculatedColumnFormula>IFERROR(AVERAGEIFS(tbDrills[ציון],tbDrills[מאבטח],tbEmploDetails[[#This Row],[שם מלא]],tbDrills[תאריך],"&gt;="&amp;yearAgoCell),"")</calculatedColumnFormula>
    </tableColumn>
    <tableColumn id="38" xr3:uid="{CCA850FB-EAF4-42D2-B15E-7FDE2636B568}" name="כתובת - שם רחוב" dataDxfId="61"/>
    <tableColumn id="39" xr3:uid="{4202C232-2126-4970-9A5C-09FC9C22537D}" name="כתובת - מס' רחוב" dataDxfId="60"/>
    <tableColumn id="40" xr3:uid="{264A5F19-1528-450E-B2BF-335CF897C506}" name="איש קשר - שם מלא" dataDxfId="59"/>
    <tableColumn id="41" xr3:uid="{DF0BF48F-BBE0-4FF2-AB5F-3E52F557C5F6}" name="איש קשר - טיב קשר" dataDxfId="58"/>
    <tableColumn id="42" xr3:uid="{6410B6C3-C864-4D6E-81D4-52256AA66296}" name="מס' שורה" dataDxfId="57">
      <calculatedColumnFormula>ROW()</calculatedColumnFormula>
    </tableColumn>
    <tableColumn id="43" xr3:uid="{CC142458-B916-4C94-8C7E-A7C068725E9D}" name="כתובת מלאה להסעות" dataDxfId="56">
      <calculatedColumnFormula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4C87D7-952F-45B8-8569-B8139614CAD8}" name="tbShetchExam" displayName="tbShetchExam" ref="A1:G4" totalsRowShown="0">
  <autoFilter ref="A1:G4" xr:uid="{474C87D7-952F-45B8-8569-B8139614CAD8}"/>
  <sortState xmlns:xlrd2="http://schemas.microsoft.com/office/spreadsheetml/2017/richdata2" ref="A2:G2">
    <sortCondition ref="A1:A2"/>
  </sortState>
  <tableColumns count="7">
    <tableColumn id="1" xr3:uid="{2FA64D1A-1A2D-459D-B032-383F01FE0C3B}" name="תאריך" dataDxfId="55"/>
    <tableColumn id="2" xr3:uid="{E5C0EB2A-6C7F-4B8C-AFAC-CA3CF13AC232}" name="בוחן"/>
    <tableColumn id="3" xr3:uid="{D59F82A2-4F82-49FC-B9C7-435D8DCE668A}" name="נבחן" dataDxfId="54"/>
    <tableColumn id="8" xr3:uid="{C2F99864-46CB-4D9B-BF10-44EEEC648164}" name="סטטוס">
      <calculatedColumnFormula>_xlfn.XLOOKUP(tbShetchExam[[#This Row],[נבחן]],tbEmploDetails[שם מלא],tbEmploDetails[האם פעיל],"not found",0,1)</calculatedColumnFormula>
    </tableColumn>
    <tableColumn id="4" xr3:uid="{1DF29AD2-872A-4520-AE48-BC09C5C5B058}" name="תוצאה" dataDxfId="53"/>
    <tableColumn id="5" xr3:uid="{7E653C7D-3E45-48C0-9745-CF4372A58BAF}" name="מס' פעם" dataDxfId="52">
      <calculatedColumnFormula>COUNTIFS(tbShetchExam[נבחן],"=" &amp; tbShetchExam[[#This Row],[נבחן]],tbShetchExam[תאריך],"&lt;=" &amp; tbShetchExam[[#This Row],[תאריך]])</calculatedColumnFormula>
    </tableColumn>
    <tableColumn id="6" xr3:uid="{DEEA6F64-D461-4E85-A6C3-6CB9C76238A3}" name="הערות" dataDxfId="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7900E5-ED5A-46EB-9836-55590BFC84FB}" name="tbLate" displayName="tbLate" ref="A1:O10" totalsRowShown="0">
  <autoFilter ref="A1:O10" xr:uid="{9B7900E5-ED5A-46EB-9836-55590BFC84FB}"/>
  <tableColumns count="15">
    <tableColumn id="1" xr3:uid="{906CCCA6-7BEE-441B-AFF0-39272FF16838}" name="תאריך" dataDxfId="50"/>
    <tableColumn id="10" xr3:uid="{F3A7D217-F99F-44A9-9379-832592856428}" name="האם בשנה האחרונה" dataDxfId="49">
      <calculatedColumnFormula>tbLate[[#This Row],[תאריך]]&gt;=yearAgoCell</calculatedColumnFormula>
    </tableColumn>
    <tableColumn id="8" xr3:uid="{D63F62BB-98C1-42F9-A149-E49AF5E04C47}" name="יום בשבוע" dataDxfId="48">
      <calculatedColumnFormula>IFERROR(IF(tbLate[[#This Row],[תאריך]]&lt;&gt;"",VLOOKUP(WEEKDAY(tbLate[[#This Row],[תאריך]],1),tbWeekdays[],3,FALSE),""),"")</calculatedColumnFormula>
    </tableColumn>
    <tableColumn id="2" xr3:uid="{F9A6B533-7738-44FD-9F3F-D9AE3BBA2B36}" name="משמרת"/>
    <tableColumn id="3" xr3:uid="{9D28E1F7-EF72-4757-93F0-3A6DCAE553A1}" name="שם המאחר"/>
    <tableColumn id="4" xr3:uid="{A1BB9B9F-E614-4190-AD04-2FEC2EF2D3D8}" name="איחור בדק'/חור" dataDxfId="47"/>
    <tableColumn id="6" xr3:uid="{74ADAEC5-E50B-444C-8300-B19778FAEEC9}" name="מס'דק'איחור" dataDxfId="46">
      <calculatedColumnFormula>IF(ISNUMBER(tbLate[[#This Row],[איחור בדק''/חור]]),tbLate[[#This Row],[איחור בדק''/חור]],"")</calculatedColumnFormula>
    </tableColumn>
    <tableColumn id="7" xr3:uid="{4E44DFF9-E3B9-4994-9781-F55E5701DFA2}" name="האם חור" dataDxfId="45">
      <calculatedColumnFormula>IF(tbLate[[#This Row],[איחור בדק''/חור]]="חור",1,"")</calculatedColumnFormula>
    </tableColumn>
    <tableColumn id="5" xr3:uid="{2ADFBDB0-26C1-46C1-AED5-C4318DC5B1C1}" name="הערות" dataDxfId="44"/>
    <tableColumn id="11" xr3:uid="{E5D1BC91-069A-4A0D-A5A3-DF983F5A1002}" name="מס' שבוע">
      <calculatedColumnFormula>WEEKNUM(tbLate[[#This Row],[תאריך]],1)</calculatedColumnFormula>
    </tableColumn>
    <tableColumn id="12" xr3:uid="{FF58E7A1-7208-466C-85D8-979DF16C4BFC}" name="שנה">
      <calculatedColumnFormula>YEAR(tbLate[[#This Row],[תאריך]])</calculatedColumnFormula>
    </tableColumn>
    <tableColumn id="13" xr3:uid="{1D4E7209-8DC7-459C-9D26-1A9E2799F45C}" name="חודש">
      <calculatedColumnFormula>MONTH(A2)</calculatedColumnFormula>
    </tableColumn>
    <tableColumn id="14" xr3:uid="{DF54D678-13CD-42FA-B74F-3E93E39FC19D}" name="יום בחודש">
      <calculatedColumnFormula>DAY(A2)</calculatedColumnFormula>
    </tableColumn>
    <tableColumn id="9" xr3:uid="{BDBD7374-892A-4F2E-992D-92DB21517FFD}" name="האם פעיל">
      <calculatedColumnFormula>_xlfn.XLOOKUP(tbLate[[#This Row],[שם המאחר]],tbEmploDetails[שם מלא],tbEmploDetails[האם פעיל],"לא נמצא",0,1)</calculatedColumnFormula>
    </tableColumn>
    <tableColumn id="15" xr3:uid="{51FAA697-82F2-4C2C-9CFD-D7755479767B}" name="מס' שורה">
      <calculatedColumnFormula>ROW()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C1D3E2-1343-4917-BC14-DB82E3BC1838}" name="tbPerfReview" displayName="tbPerfReview" ref="A1:N6" totalsRowShown="0">
  <autoFilter ref="A1:N6" xr:uid="{E1C1D3E2-1343-4917-BC14-DB82E3BC1838}"/>
  <tableColumns count="14">
    <tableColumn id="1" xr3:uid="{FC8DF6A0-527F-408B-80CB-D70B21DE56A7}" name="תאריך" dataDxfId="43"/>
    <tableColumn id="11" xr3:uid="{96D5457F-2DC3-43AD-91B3-FF8E01C044ED}" name="האם בשנה האחרונה" dataDxfId="42">
      <calculatedColumnFormula>tbPerfReview[[#This Row],[תאריך]]&gt;=yearAgoCell</calculatedColumnFormula>
    </tableColumn>
    <tableColumn id="2" xr3:uid="{6649FA2D-D24A-4AD3-9446-EC045D43A970}" name="אחמ&quot;ש"/>
    <tableColumn id="3" xr3:uid="{9E0DA62F-44C3-4C2A-8821-9825C86D00B4}" name="מאבטח"/>
    <tableColumn id="4" xr3:uid="{BD0F85FF-C372-487D-8928-81FE6C91B238}" name="נושא"/>
    <tableColumn id="5" xr3:uid="{BBF576EC-7E5A-4F9F-86F9-E2C448D96048}" name="פירוט" dataDxfId="41"/>
    <tableColumn id="6" xr3:uid="{63DF2515-D5FF-41F4-BAFE-74F9EEB698C0}" name="לשיפור" dataDxfId="40"/>
    <tableColumn id="7" xr3:uid="{88DE61E1-346F-40C9-8CE7-85E5B9278928}" name="לשימור" dataDxfId="39"/>
    <tableColumn id="8" xr3:uid="{D901FB72-3AB7-44E9-BA25-463854F8968C}" name="ציון">
      <calculatedColumnFormula>_xlfn.XLOOKUP(tbPerfReview[[#This Row],[ציון מילולי]],lsOptRvew[ביקורות],lsOptRvew[מספרי],"",0,1)</calculatedColumnFormula>
    </tableColumn>
    <tableColumn id="10" xr3:uid="{27285279-6B1B-477B-AAF0-E73618CBF411}" name="ציון מילולי"/>
    <tableColumn id="9" xr3:uid="{61BCB317-DED7-43C5-9D3F-FF186C81A945}" name="הערות"/>
    <tableColumn id="12" xr3:uid="{A6609617-BE32-4D0A-8C94-363D49EE5EAA}" name="יום בחודש" dataDxfId="38">
      <calculatedColumnFormula>DAY(tbPerfReview[[#This Row],[תאריך]])</calculatedColumnFormula>
    </tableColumn>
    <tableColumn id="13" xr3:uid="{2C99424F-0324-4D04-93C7-424F31ECC89F}" name="חודש" dataDxfId="37">
      <calculatedColumnFormula>MONTH(tbPerfReview[[#This Row],[תאריך]])</calculatedColumnFormula>
    </tableColumn>
    <tableColumn id="14" xr3:uid="{89405888-662E-448F-8249-E6170769916F}" name="שנה" dataDxfId="36">
      <calculatedColumnFormula>YEAR(tbPerfReview[[#This Row],[תאריך]])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A6FCC00-9AEE-456C-BA7D-E320479D31F3}" name="tbDrills" displayName="tbDrills" ref="A1:N6" totalsRowShown="0">
  <autoFilter ref="A1:N6" xr:uid="{1A6FCC00-9AEE-456C-BA7D-E320479D31F3}"/>
  <tableColumns count="14">
    <tableColumn id="1" xr3:uid="{A9B53FED-BFC8-41B3-86AD-2CBD69D32E70}" name="תאריך" dataDxfId="35"/>
    <tableColumn id="11" xr3:uid="{ACFD1377-5C22-435D-8206-EECF4CCC2515}" name="האם בשנה האחרונה" dataDxfId="34">
      <calculatedColumnFormula>tbDrills[[#This Row],[תאריך]]&gt;=yearAgoCell</calculatedColumnFormula>
    </tableColumn>
    <tableColumn id="2" xr3:uid="{42B6176D-689E-44A7-ABF4-D914916939FD}" name="אחמ&quot;ש"/>
    <tableColumn id="3" xr3:uid="{EC7309E0-3216-4E1B-B5CD-3275F3CC141B}" name="מאבטח"/>
    <tableColumn id="4" xr3:uid="{7D1E57C8-08E9-46DD-9408-E6E1A45664AD}" name="תרחיש"/>
    <tableColumn id="5" xr3:uid="{F38AC9A6-7507-4646-83F0-D5FD73AAFEC9}" name="פירוט"/>
    <tableColumn id="6" xr3:uid="{CBCF2564-1C2A-43ED-BA90-895D73F2FA67}" name="לשיפור"/>
    <tableColumn id="7" xr3:uid="{30FBAAE9-53C4-4FC0-A22B-5CEBE0F6F529}" name="לשימור"/>
    <tableColumn id="8" xr3:uid="{F751BBBC-7FA8-49D0-83D1-AA09FE09F3F1}" name="ציון">
      <calculatedColumnFormula>_xlfn.XLOOKUP(tbDrills[[#This Row],[ציון מילולי]],lsOptDrill[תרגילים],lsOptDrill[מספרי],"",0,1)</calculatedColumnFormula>
    </tableColumn>
    <tableColumn id="10" xr3:uid="{AA91A1BD-CA2D-466C-9DC2-1D57A57875E4}" name="ציון מילולי" dataDxfId="33"/>
    <tableColumn id="9" xr3:uid="{7B1B40EB-F971-469C-9551-B96BA5F9AFF5}" name="הערות" dataDxfId="32"/>
    <tableColumn id="12" xr3:uid="{D5678912-A9BC-4414-8A93-5B8999AADCE3}" name="יום בחודש">
      <calculatedColumnFormula>DAY(tbDrills[[#This Row],[תאריך]])</calculatedColumnFormula>
    </tableColumn>
    <tableColumn id="13" xr3:uid="{297A1F43-5FE0-473B-9EAC-A5B9BCE04F14}" name="חודש" dataDxfId="31">
      <calculatedColumnFormula>MONTH(tbDrills[[#This Row],[תאריך]])</calculatedColumnFormula>
    </tableColumn>
    <tableColumn id="14" xr3:uid="{A4323DB6-D503-4EF0-9262-843DC5A760AB}" name="שנה" dataDxfId="30">
      <calculatedColumnFormula>YEAR(tbDrills[[#This Row],[תאריך]])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D2FA4C9-62B5-4C5F-85FD-C0AB2638A2B4}" name="lsOptDrill" displayName="lsOptDrill" ref="K1:L5" totalsRowShown="0">
  <autoFilter ref="K1:L5" xr:uid="{CD2FA4C9-62B5-4C5F-85FD-C0AB2638A2B4}"/>
  <tableColumns count="2">
    <tableColumn id="2" xr3:uid="{F22F353E-8E18-4FA8-87E3-179DC76B24F6}" name="מספרי"/>
    <tableColumn id="1" xr3:uid="{74980FDC-D8CE-4B85-B4E2-5198056EEA49}" name="תרגילים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AA5B6F-5C50-4088-A39A-AA964763BB01}" name="lsOptRvew" displayName="lsOptRvew" ref="N1:O5" totalsRowShown="0">
  <autoFilter ref="N1:O5" xr:uid="{89AA5B6F-5C50-4088-A39A-AA964763BB01}"/>
  <tableColumns count="2">
    <tableColumn id="2" xr3:uid="{76CF657E-BB20-4DD4-86A7-22FFF999D854}" name="מספרי"/>
    <tableColumn id="1" xr3:uid="{09DC7389-63F1-410F-9DE3-DF862EECDF75}" name="ביקורות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7526A09-FA91-4142-BFB2-897E0A85B6D3}" name="lsOptShifts" displayName="lsOptShifts" ref="I1:I10" totalsRowShown="0">
  <autoFilter ref="I1:I10" xr:uid="{97526A09-FA91-4142-BFB2-897E0A85B6D3}"/>
  <tableColumns count="1">
    <tableColumn id="1" xr3:uid="{9E24434E-ED7C-4261-97D2-707F90A4AC47}" name="משמרות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046AD7-7398-4C1F-A9AF-42268F561857}" name="lsOptStatus" displayName="lsOptStatus" ref="A1:A3" totalsRowShown="0" tableBorderDxfId="29">
  <autoFilter ref="A1:A3" xr:uid="{08046AD7-7398-4C1F-A9AF-42268F561857}"/>
  <tableColumns count="1">
    <tableColumn id="1" xr3:uid="{4D68069B-581B-44CF-840C-FBCC3B755BD4}" name="סטטוס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39632E7-D65B-445B-8ABC-3A6EA9644E3C}" name="lsOptTest" displayName="lsOptTest" ref="C1:C4" totalsRowShown="0" tableBorderDxfId="28">
  <autoFilter ref="C1:C4" xr:uid="{D39632E7-D65B-445B-8ABC-3A6EA9644E3C}"/>
  <tableColumns count="1">
    <tableColumn id="1" xr3:uid="{6905F8EA-5EBA-43A5-9B80-EC4894C9FA74}" name="ב.שטח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FE94E93-5AD6-442F-8630-89323C7CFFC3}" name="lsOptCtrlCert" displayName="lsOptCtrlCert" ref="E1:E3" totalsRowShown="0" tableBorderDxfId="27">
  <autoFilter ref="E1:E3" xr:uid="{DFE94E93-5AD6-442F-8630-89323C7CFFC3}"/>
  <tableColumns count="1">
    <tableColumn id="1" xr3:uid="{3AF532F5-1AE9-42F8-BBD0-0CE8643F0601}" name="ע.של'.הסמכה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434A14D-AA60-41A6-95B7-D2676712FCC2}" name="lsOptCtrlAppr" displayName="lsOptCtrlAppr" ref="G1:G3" totalsRowShown="0" tableBorderDxfId="26">
  <autoFilter ref="G1:G3" xr:uid="{C434A14D-AA60-41A6-95B7-D2676712FCC2}"/>
  <tableColumns count="1">
    <tableColumn id="1" xr3:uid="{91003074-ED19-43D5-B8E8-BCAA5E995C59}" name="ע.של'.הרשאה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C79888-6B5A-4C58-AA34-C8880D9561C1}" name="lsOptRoles" displayName="lsOptRoles" ref="S1:S8" totalsRowShown="0">
  <autoFilter ref="S1:S8" xr:uid="{97C79888-6B5A-4C58-AA34-C8880D9561C1}"/>
  <tableColumns count="1">
    <tableColumn id="1" xr3:uid="{76CD98D3-EA5E-44D3-AC4E-35A44BA52D0C}" name="תפקידים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85F5C0-BE55-4E57-843A-64053429DABD}" name="lsOptMedic" displayName="lsOptMedic" ref="U1:U3" totalsRowShown="0">
  <autoFilter ref="U1:U3" xr:uid="{F085F5C0-BE55-4E57-843A-64053429DABD}"/>
  <tableColumns count="1">
    <tableColumn id="1" xr3:uid="{DA4020D7-D649-4C13-A8B2-07691AB56ACA}" name="האם חובש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4CA148-7681-4BCF-979F-AA52D304CBEA}" name="tbWeekdays" displayName="tbWeekdays" ref="AD1:AF8" totalsRowShown="0">
  <autoFilter ref="AD1:AF8" xr:uid="{174CA148-7681-4BCF-979F-AA52D304CBEA}"/>
  <tableColumns count="3">
    <tableColumn id="1" xr3:uid="{91212E27-1EA4-42C0-8C0B-E0879F71FE8A}" name="מס יום"/>
    <tableColumn id="2" xr3:uid="{51154F0B-566C-4789-9387-C68D80D3C8A9}" name="שם יום"/>
    <tableColumn id="3" xr3:uid="{D172476D-B03D-4406-95E8-FDAB9E55E40C}" name="אות יום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3C3FF77-85A6-4746-82CE-92DEFF5F4483}" name="lsHelpFileNames" displayName="lsHelpFileNames" ref="B16:B20" totalsRowShown="0" headerRowDxfId="25" tableBorderDxfId="24">
  <autoFilter ref="B16:B20" xr:uid="{03C3FF77-85A6-4746-82CE-92DEFF5F4483}"/>
  <tableColumns count="1">
    <tableColumn id="1" xr3:uid="{04FB6DC8-D167-49CC-8BF9-CB1F832228F0}" name="שמות קבצים (כולל סיומת):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D148F0D-CF5D-4E8E-8FD0-B9E0A27B3677}" name="lsOptRvwTheme" displayName="lsOptRvwTheme" ref="K9:K21" totalsRowShown="0">
  <autoFilter ref="K9:K21" xr:uid="{2D148F0D-CF5D-4E8E-8FD0-B9E0A27B3677}"/>
  <tableColumns count="1">
    <tableColumn id="1" xr3:uid="{2DA8602A-C157-4118-B757-F12F6CD7E807}" name="נושאי ביקורות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FF6D7-F6A6-45B7-927C-C83C266AFF8F}">
  <sheetPr codeName="גיליון13">
    <tabColor theme="0"/>
    <pageSetUpPr fitToPage="1"/>
  </sheetPr>
  <dimension ref="A1:W23"/>
  <sheetViews>
    <sheetView showGridLines="0" rightToLeft="1" tabSelected="1" zoomScaleNormal="100" workbookViewId="0"/>
  </sheetViews>
  <sheetFormatPr defaultColWidth="9" defaultRowHeight="13.8"/>
  <cols>
    <col min="1" max="5" width="24.59765625" style="65" customWidth="1"/>
    <col min="6" max="16384" width="9" style="65"/>
  </cols>
  <sheetData>
    <row r="1" spans="1:23" customFormat="1" ht="63">
      <c r="A1" s="59"/>
      <c r="B1" s="60"/>
      <c r="C1" s="61" t="s">
        <v>151</v>
      </c>
      <c r="D1" s="61"/>
      <c r="E1" s="62"/>
      <c r="M1" s="58" t="s">
        <v>150</v>
      </c>
      <c r="N1" s="58"/>
      <c r="W1" s="107" t="str">
        <f>NameSearchCell</f>
        <v>בן דוד מאיה</v>
      </c>
    </row>
    <row r="2" spans="1:23" customFormat="1" ht="14.4">
      <c r="W2" s="150" t="s">
        <v>287</v>
      </c>
    </row>
    <row r="3" spans="1:23" customFormat="1" ht="31.8">
      <c r="A3" s="53"/>
      <c r="B3" s="54"/>
      <c r="C3" s="55" t="s">
        <v>152</v>
      </c>
      <c r="D3" s="54"/>
      <c r="E3" s="54"/>
    </row>
    <row r="4" spans="1:23" customFormat="1"/>
    <row r="5" spans="1:23" customFormat="1"/>
    <row r="6" spans="1:23" customFormat="1"/>
    <row r="7" spans="1:23" customFormat="1"/>
    <row r="8" spans="1:23" customFormat="1"/>
    <row r="9" spans="1:23" customFormat="1" ht="31.8">
      <c r="A9" s="57"/>
      <c r="B9" s="57"/>
      <c r="C9" s="56" t="s">
        <v>153</v>
      </c>
      <c r="D9" s="57"/>
      <c r="E9" s="57"/>
    </row>
    <row r="10" spans="1:23" customFormat="1" ht="35.25" customHeight="1">
      <c r="B10" s="135" t="s">
        <v>154</v>
      </c>
      <c r="C10" s="190" t="s">
        <v>681</v>
      </c>
    </row>
    <row r="16" spans="1:23" ht="31.8">
      <c r="A16" s="136"/>
      <c r="B16" s="136"/>
      <c r="C16" s="134" t="s">
        <v>155</v>
      </c>
      <c r="D16" s="136"/>
      <c r="E16" s="136"/>
    </row>
    <row r="22" spans="1:14" ht="35.25" customHeight="1">
      <c r="A22" s="268"/>
      <c r="B22" s="268"/>
      <c r="C22" s="269" t="s">
        <v>343</v>
      </c>
      <c r="D22" s="268"/>
      <c r="E22" s="268"/>
    </row>
    <row r="23" spans="1:14" ht="31.8">
      <c r="I23" s="192" t="s">
        <v>301</v>
      </c>
      <c r="J23" s="191">
        <f>COUNTIFS(tbEmploDetails[האם פעיל],"פעיל",tbEmploDetails[תפקיד],"&lt;&gt;נהג")</f>
        <v>47</v>
      </c>
      <c r="M23" s="192" t="s">
        <v>302</v>
      </c>
      <c r="N23" s="191">
        <f>COUNTIFS(tbEmploDetails[האם פעיל],"פעיל",tbEmploDetails[האם חובש],"חובש")</f>
        <v>3</v>
      </c>
    </row>
  </sheetData>
  <sheetProtection algorithmName="SHA-512" hashValue="P1W98Q5B30scIay7pw3K2iwyX/NjasmlULSFCbweuQ3Do1lKsjy31whx8pDDdXCYDdbTyK/T5MDpCE+sNJnqVA==" saltValue="7anjB7J7M/HC4XJgwVaEow==" spinCount="100000" sheet="1" objects="1" scenarios="1"/>
  <dataValidations count="1">
    <dataValidation type="list" errorStyle="information" allowBlank="1" showInputMessage="1" showErrorMessage="1" errorTitle="השם לא קיים" error="שים לב, יש להקליד את השם בצורה נכונה._x000a_קודם שם משפחה, ואחריו שם פרטי." sqref="C10" xr:uid="{C4679D6F-79EC-46BA-A931-CFABBC5E5E9C}">
      <formula1>namesOffset</formula1>
    </dataValidation>
  </dataValidations>
  <printOptions horizontalCentered="1"/>
  <pageMargins left="3.937007874015748E-2" right="3.937007874015748E-2" top="0.39370078740157483" bottom="0.39370078740157483" header="0.11811023622047245" footer="0.11811023622047245"/>
  <pageSetup paperSize="9" scale="45" fitToHeight="0" orientation="portrait" r:id="rId1"/>
  <headerFooter>
    <oddHeader>&amp;L&amp;D, &amp;T&amp;Rקובץ: &amp;F
גיליון: &amp;A</oddHeader>
    <oddFooter>&amp;Cעמוד &amp;P מתוך &amp;N</oddFooter>
  </headerFooter>
  <cellWatches>
    <cellWatch r="W1"/>
  </cellWatch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D5C11-9BCB-4E27-92BC-00AD88DA4F43}">
  <sheetPr codeName="גיליון7">
    <tabColor theme="5"/>
    <pageSetUpPr autoPageBreaks="0" fitToPage="1"/>
  </sheetPr>
  <dimension ref="A1:M52"/>
  <sheetViews>
    <sheetView showGridLines="0" rightToLeft="1" zoomScaleNormal="100" workbookViewId="0"/>
  </sheetViews>
  <sheetFormatPr defaultColWidth="9" defaultRowHeight="20.25" customHeight="1"/>
  <cols>
    <col min="1" max="1" width="8.59765625" style="40" customWidth="1"/>
    <col min="2" max="2" width="20.59765625" style="39" customWidth="1"/>
    <col min="3" max="3" width="8.09765625" style="40" customWidth="1"/>
    <col min="4" max="4" width="20.59765625" style="40" customWidth="1"/>
    <col min="5" max="5" width="8.09765625" style="40" customWidth="1"/>
    <col min="6" max="6" width="31.3984375" style="40" customWidth="1"/>
    <col min="7" max="7" width="8.09765625" style="40" customWidth="1"/>
    <col min="8" max="8" width="25.59765625" style="40" customWidth="1"/>
    <col min="9" max="9" width="15.3984375" style="40" customWidth="1"/>
    <col min="10" max="10" width="12.59765625" style="40" customWidth="1"/>
    <col min="11" max="11" width="26.5" style="40" bestFit="1" customWidth="1"/>
    <col min="12" max="18" width="17.3984375" style="40" customWidth="1"/>
    <col min="19" max="16384" width="9" style="40"/>
  </cols>
  <sheetData>
    <row r="1" spans="2:13" s="5" customFormat="1" ht="20.25" customHeight="1"/>
    <row r="2" spans="2:13" s="5" customFormat="1" ht="20.25" customHeight="1">
      <c r="B2" s="22" t="str">
        <f>'מסך ראשי'!C10</f>
        <v>בן דוד מאיה</v>
      </c>
      <c r="D2" s="24" t="str" cm="1">
        <f t="array" ref="D2">_xlfn._xlws.FILTER(tbEmploDetails[האם פעיל],tbEmploDetails[שם מלא]=NameSearchCell,"--")</f>
        <v>פעיל</v>
      </c>
      <c r="F2" s="24" t="str" cm="1">
        <f t="array" ref="F2">IF(_xlfn._xlws.FILTER(tbEmploDetails[האם חובש],tbEmploDetails[שם מלא]=NameSearchCell,"--")="חובש","חובש ✡️",_xlfn._xlws.FILTER(tbEmploDetails[האם חובש],tbEmploDetails[שם מלא]=NameSearchCell,"--"))</f>
        <v>לא חובש</v>
      </c>
      <c r="H2" s="29" t="s">
        <v>67</v>
      </c>
      <c r="I2" s="26" cm="1">
        <f t="array" ref="I2">_xlfn._xlws.FILTER(tbEmploDetails[תאריך תחילת תעסוקה נוכחית],tbEmploDetails[שם מלא]=NameSearchCell,"--")</f>
        <v>44392</v>
      </c>
    </row>
    <row r="3" spans="2:13" s="5" customFormat="1" ht="20.25" customHeight="1">
      <c r="B3" s="23" t="s">
        <v>62</v>
      </c>
      <c r="D3" s="25" t="s">
        <v>63</v>
      </c>
      <c r="F3" s="25" t="s">
        <v>64</v>
      </c>
      <c r="H3" s="29" t="s">
        <v>298</v>
      </c>
      <c r="I3" s="26" t="str">
        <f>_xlfn.XLOOKUP(NameSearchCell,tbEmploDetails[שם מלא],tbEmploDetails[תפקיד],"--",0,1)</f>
        <v>מאבטח</v>
      </c>
    </row>
    <row r="4" spans="2:13" s="5" customFormat="1" ht="20.25" customHeight="1">
      <c r="H4" s="29" t="s">
        <v>68</v>
      </c>
      <c r="I4" s="27" t="str" cm="1">
        <f t="array" ref="I4">_xlfn.SWITCH(helpCells01_0,lsOptTest_0,helpCells01_2,lsOptTest_1,helpCells01_0 &amp; ", " &amp; helpCells01.5_0 &amp; " פעמים",lsOptTest_2,helpCells01_0)</f>
        <v>נכשל, 1 פעמים</v>
      </c>
    </row>
    <row r="5" spans="2:13" s="5" customFormat="1" ht="20.25" customHeight="1">
      <c r="H5" s="29" t="s">
        <v>69</v>
      </c>
      <c r="I5" s="28" t="str">
        <f>IFERROR(helpCells03_2,"--")</f>
        <v>לא מוסמך</v>
      </c>
    </row>
    <row r="6" spans="2:13" s="5" customFormat="1" ht="20.25" customHeight="1">
      <c r="B6" s="7"/>
      <c r="C6" s="8"/>
      <c r="D6" s="8" t="s">
        <v>66</v>
      </c>
      <c r="E6" s="8"/>
      <c r="F6" s="9"/>
      <c r="H6" s="29" t="s">
        <v>70</v>
      </c>
      <c r="I6" s="27" t="str" cm="1">
        <f t="array" aca="1" ref="I6" ca="1">_xlfn._xlws.FILTER(tbEmploDetails[זמן להצ'' בריאות באה],tbEmploDetails[שם מלא]=NameSearchCell,"--")&amp;" ימים"</f>
        <v>218 ימים</v>
      </c>
    </row>
    <row r="7" spans="2:13" s="5" customFormat="1" ht="20.25" customHeight="1">
      <c r="B7" s="10" t="str" cm="1">
        <f t="array" ref="B7">_xlfn._xlws.FILTER(tbEmploDetails[מס'' זהות],tbEmploDetails[שם מלא]=NameSearchCell,"--")</f>
        <v>3-1122334-5</v>
      </c>
      <c r="C7" s="11"/>
      <c r="D7" s="12" t="str" cm="1">
        <f t="array" ref="D7">_xlfn._xlws.FILTER(tbEmploDetails[מס'' טלפון],tbEmploDetails[שם מלא]=NameSearchCell,"--")</f>
        <v>053-8765432</v>
      </c>
      <c r="E7" s="11"/>
      <c r="F7" s="70" t="str" cm="1">
        <f t="array" ref="F7">_xlfn._xlws.FILTER(tbEmploDetails[כתובת - רחוב],tbEmploDetails[שם מלא]=NameSearchCell,"--")&amp;", "&amp;_xlfn._xlws.FILTER(tbEmploDetails[כתובת - שכונה/ישוב],tbEmploDetails[שם מלא]=NameSearchCell,"--")</f>
        <v>אבן גבירול 70,  רמת גן</v>
      </c>
    </row>
    <row r="8" spans="2:13" s="5" customFormat="1" ht="20.25" customHeight="1">
      <c r="B8" s="13" t="s">
        <v>2</v>
      </c>
      <c r="C8" s="14"/>
      <c r="D8" s="14" t="s">
        <v>3</v>
      </c>
      <c r="E8" s="14"/>
      <c r="F8" s="15" t="s">
        <v>65</v>
      </c>
    </row>
    <row r="9" spans="2:13" s="5" customFormat="1" ht="20.25" customHeight="1">
      <c r="H9" s="183" t="s">
        <v>139</v>
      </c>
      <c r="I9" s="182"/>
    </row>
    <row r="10" spans="2:13" s="5" customFormat="1" ht="20.25" customHeight="1">
      <c r="H10" s="104" t="s">
        <v>140</v>
      </c>
      <c r="I10" s="102" t="str" cm="1">
        <f t="array" ref="I10">_xlfn._xlws.FILTER(tbEmploDetails[איש קשר-שם],tbEmploDetails[שם מלא]=NameSearchCell,"")</f>
        <v>()</v>
      </c>
    </row>
    <row r="11" spans="2:13" s="5" customFormat="1" ht="20.25" customHeight="1">
      <c r="H11" s="104" t="s">
        <v>181</v>
      </c>
      <c r="I11" s="102" cm="1">
        <f t="array" ref="I11">_xlfn._xlws.FILTER(tbEmploDetails[איש קשר-טלפון],tbEmploDetails[שם מלא]=NameSearchCell,"")</f>
        <v>0</v>
      </c>
    </row>
    <row r="12" spans="2:13" s="5" customFormat="1" ht="20.25" customHeight="1">
      <c r="B12" s="16"/>
      <c r="F12" s="16"/>
      <c r="H12" s="105" t="s">
        <v>182</v>
      </c>
      <c r="I12" s="103" cm="1">
        <f t="array" ref="I12">_xlfn._xlws.FILTER(tbEmploDetails[איש קשר-כתובת],tbEmploDetails[שם מלא]=NameSearchCell,"")</f>
        <v>0</v>
      </c>
    </row>
    <row r="13" spans="2:13" s="5" customFormat="1" ht="20.25" customHeight="1">
      <c r="B13" s="16"/>
    </row>
    <row r="14" spans="2:13" s="5" customFormat="1" ht="20.25" customHeight="1">
      <c r="B14" s="16"/>
    </row>
    <row r="15" spans="2:13" s="5" customFormat="1" ht="20.25" customHeight="1">
      <c r="B15" s="16"/>
    </row>
    <row r="16" spans="2:13" s="5" customFormat="1" ht="20.25" customHeight="1">
      <c r="B16" s="71" t="s">
        <v>83</v>
      </c>
      <c r="C16" s="72"/>
      <c r="D16" s="71" t="s">
        <v>88</v>
      </c>
      <c r="E16" s="72"/>
      <c r="F16" s="71" t="s">
        <v>160</v>
      </c>
      <c r="G16" s="72"/>
      <c r="M16" s="33"/>
    </row>
    <row r="17" spans="1:13" s="5" customFormat="1" ht="20.25" customHeight="1">
      <c r="B17" s="73" t="s">
        <v>84</v>
      </c>
      <c r="C17" s="102">
        <f ca="1">COUNTIFS(tbLate[שם המאחר],NameSearchCell,tbLate[איחור בדק''/חור],"&lt;&gt;חור",tbLate[תאריך],"&gt;="&amp;yearAgoCell,tbLate[תאריך],"&lt;="&amp;TodayCell)</f>
        <v>0</v>
      </c>
      <c r="D17" s="73" t="s">
        <v>159</v>
      </c>
      <c r="E17" s="102">
        <f ca="1">COUNTIFS(tbPerfReview[מאבטח],NameSearchCell,tbPerfReview[תאריך],"&gt;="&amp;yearAgoCell,tbPerfReview[תאריך],"&lt;="&amp;TodayCell)</f>
        <v>0</v>
      </c>
      <c r="F17" s="73" t="s">
        <v>194</v>
      </c>
      <c r="G17" s="102">
        <f ca="1">COUNTIFS(tbDrills[מאבטח],NameSearchCell,tbDrills[תאריך],"&gt;="&amp;yearAgoCell,tbDrills[תאריך],"&lt;="&amp;TodayCell)</f>
        <v>0</v>
      </c>
      <c r="M17" s="33"/>
    </row>
    <row r="18" spans="1:13" s="5" customFormat="1" ht="20.25" customHeight="1">
      <c r="B18" s="73" t="s">
        <v>86</v>
      </c>
      <c r="C18" s="154" t="str">
        <f ca="1">IFERROR(AVERAGEIFS(tbLate[מס''דק''איחור],tbLate[שם המאחר],NameSearchCell,tbLate[תאריך],"&gt;="&amp;yearAgoCell,tbLate[תאריך],"&lt;="&amp;TodayCell),"--")</f>
        <v>--</v>
      </c>
      <c r="D18" s="73" t="s">
        <v>89</v>
      </c>
      <c r="E18" s="155" t="str">
        <f ca="1">IFERROR(AVERAGEIFS(tbPerfReview[ציון],tbPerfReview[מאבטח],NameSearchCell,tbPerfReview[תאריך],"&gt;="&amp;yearAgoCell,tbPerfReview[תאריך],"&lt;="&amp;TodayCell),"--")</f>
        <v>--</v>
      </c>
      <c r="F18" s="73" t="s">
        <v>195</v>
      </c>
      <c r="G18" s="155" t="str">
        <f ca="1">IFERROR(AVERAGEIFS(tbDrills[ציון],tbDrills[מאבטח],NameSearchCell,tbDrills[תאריך],"&gt;="&amp;yearAgoCell,tbDrills[תאריך],"&lt;="&amp;TodayCell),"--")</f>
        <v>--</v>
      </c>
      <c r="M18" s="33"/>
    </row>
    <row r="19" spans="1:13" s="5" customFormat="1" ht="20.25" customHeight="1">
      <c r="B19" s="74" t="s">
        <v>85</v>
      </c>
      <c r="C19" s="103">
        <f ca="1">COUNTIFS(tbLate[שם המאחר],NameSearchCell,tbLate[איחור בדק''/חור],"=חור",tbLate[תאריך],"&gt;="&amp;yearAgoCell,tbLate[תאריך],"&lt;="&amp;TodayCell)</f>
        <v>0</v>
      </c>
      <c r="D19" s="153" t="s">
        <v>291</v>
      </c>
      <c r="E19" s="103"/>
      <c r="F19" s="153" t="s">
        <v>291</v>
      </c>
      <c r="G19" s="103"/>
      <c r="M19" s="33"/>
    </row>
    <row r="20" spans="1:13" ht="20.25" customHeight="1">
      <c r="A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</row>
    <row r="21" spans="1:13" ht="20.25" customHeight="1">
      <c r="A21" s="39"/>
      <c r="C21" s="39"/>
      <c r="D21" s="39"/>
      <c r="E21" s="39"/>
      <c r="F21" s="39"/>
      <c r="G21" s="39"/>
      <c r="H21" s="39"/>
      <c r="I21" s="39"/>
      <c r="J21" s="39"/>
      <c r="K21" s="39"/>
      <c r="L21" s="39"/>
    </row>
    <row r="22" spans="1:13" ht="20.25" customHeight="1">
      <c r="A22" s="39"/>
      <c r="C22" s="39"/>
      <c r="D22" s="39"/>
      <c r="E22" s="39"/>
      <c r="F22" s="39"/>
      <c r="G22" s="39"/>
      <c r="H22" s="39"/>
      <c r="I22" s="39"/>
      <c r="J22" s="39"/>
      <c r="K22" s="39"/>
      <c r="L22" s="39"/>
    </row>
    <row r="23" spans="1:13" ht="20.25" customHeight="1">
      <c r="A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  <row r="24" spans="1:13" ht="20.25" customHeight="1">
      <c r="E24" s="39"/>
    </row>
    <row r="25" spans="1:13" ht="20.25" customHeight="1">
      <c r="E25" s="39"/>
    </row>
    <row r="26" spans="1:13" ht="20.25" customHeight="1">
      <c r="E26" s="39"/>
    </row>
    <row r="27" spans="1:13" ht="20.25" customHeight="1">
      <c r="E27" s="39"/>
    </row>
    <row r="28" spans="1:13" ht="20.25" customHeight="1">
      <c r="E28" s="39"/>
    </row>
    <row r="29" spans="1:13" ht="20.25" customHeight="1">
      <c r="E29" s="39"/>
    </row>
    <row r="30" spans="1:13" ht="20.25" customHeight="1">
      <c r="E30" s="39"/>
    </row>
    <row r="31" spans="1:13" ht="20.25" customHeight="1">
      <c r="E31" s="39"/>
    </row>
    <row r="32" spans="1:13" ht="20.25" customHeight="1">
      <c r="E32" s="39"/>
    </row>
    <row r="33" spans="5:5" ht="20.25" customHeight="1">
      <c r="E33" s="39"/>
    </row>
    <row r="34" spans="5:5" ht="20.25" customHeight="1">
      <c r="E34" s="39"/>
    </row>
    <row r="35" spans="5:5" ht="20.25" customHeight="1">
      <c r="E35" s="39"/>
    </row>
    <row r="36" spans="5:5" ht="20.25" customHeight="1">
      <c r="E36" s="39"/>
    </row>
    <row r="37" spans="5:5" ht="20.25" customHeight="1">
      <c r="E37" s="39"/>
    </row>
    <row r="38" spans="5:5" ht="20.25" customHeight="1">
      <c r="E38" s="39"/>
    </row>
    <row r="39" spans="5:5" ht="20.25" customHeight="1">
      <c r="E39" s="39"/>
    </row>
    <row r="40" spans="5:5" ht="20.25" customHeight="1">
      <c r="E40" s="39"/>
    </row>
    <row r="41" spans="5:5" ht="20.25" customHeight="1">
      <c r="E41" s="39"/>
    </row>
    <row r="42" spans="5:5" ht="20.25" customHeight="1">
      <c r="E42" s="39"/>
    </row>
    <row r="43" spans="5:5" ht="20.25" customHeight="1">
      <c r="E43" s="39"/>
    </row>
    <row r="44" spans="5:5" ht="20.25" customHeight="1">
      <c r="E44" s="39"/>
    </row>
    <row r="45" spans="5:5" ht="20.25" customHeight="1">
      <c r="E45" s="39"/>
    </row>
    <row r="46" spans="5:5" ht="20.25" customHeight="1">
      <c r="E46" s="39"/>
    </row>
    <row r="47" spans="5:5" ht="20.25" customHeight="1">
      <c r="E47" s="39"/>
    </row>
    <row r="48" spans="5:5" ht="20.25" customHeight="1">
      <c r="E48" s="39"/>
    </row>
    <row r="49" spans="5:5" ht="20.25" customHeight="1">
      <c r="E49" s="39"/>
    </row>
    <row r="50" spans="5:5" ht="20.25" customHeight="1">
      <c r="E50" s="39"/>
    </row>
    <row r="51" spans="5:5" ht="20.25" customHeight="1">
      <c r="E51" s="39"/>
    </row>
    <row r="52" spans="5:5" ht="20.25" customHeight="1">
      <c r="E52" s="39"/>
    </row>
  </sheetData>
  <sheetProtection algorithmName="SHA-512" hashValue="VOKiG6TWf8oo4s1nJUilhhhXLS24TWmC1TqQAVHYH3pmVThWwvbaK6ynHBgn47mRm+YfKrNRMhsS34eRRzxI9g==" saltValue="+Q4y1GP9Lb3wo9Yw73qP9Q==" spinCount="100000" sheet="1" objects="1" scenarios="1"/>
  <conditionalFormatting sqref="D2">
    <cfRule type="containsText" dxfId="22" priority="9" stopIfTrue="1" operator="containsText" text="לא פעיל">
      <formula>NOT(ISERROR(SEARCH("לא פעיל",D2)))</formula>
    </cfRule>
    <cfRule type="containsText" dxfId="21" priority="10" operator="containsText" text="פעיל">
      <formula>NOT(ISERROR(SEARCH("פעיל",D2)))</formula>
    </cfRule>
  </conditionalFormatting>
  <conditionalFormatting sqref="F2">
    <cfRule type="containsText" dxfId="20" priority="5" operator="containsText" text="לא">
      <formula>NOT(ISERROR(SEARCH("לא",F2)))</formula>
    </cfRule>
    <cfRule type="containsText" dxfId="19" priority="8" operator="containsText" text="חובש">
      <formula>NOT(ISERROR(SEARCH("חובש",F2)))</formula>
    </cfRule>
  </conditionalFormatting>
  <conditionalFormatting sqref="I5">
    <cfRule type="containsText" dxfId="18" priority="1" stopIfTrue="1" operator="containsText" text="!">
      <formula>NOT(ISERROR(SEARCH("!",I5)))</formula>
    </cfRule>
    <cfRule type="containsText" dxfId="17" priority="2" operator="containsText" text="לא מורשה">
      <formula>NOT(ISERROR(SEARCH("לא מורשה",I5)))</formula>
    </cfRule>
  </conditionalFormatting>
  <printOptions horizontalCentered="1"/>
  <pageMargins left="3.937007874015748E-2" right="3.937007874015748E-2" top="0.39370078740157483" bottom="0.39370078740157483" header="0.11811023622047245" footer="0.11811023622047245"/>
  <pageSetup paperSize="9" scale="64" fitToHeight="0" orientation="portrait" r:id="rId1"/>
  <headerFooter>
    <oddHeader>&amp;L&amp;D, &amp;T&amp;Rקובץ: &amp;F
גיליון: &amp;A</oddHeader>
    <oddFooter>&amp;Cעמוד &amp;P מתוך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92D98007-3513-4A7F-A8F6-BD32689E3DE2}">
            <xm:f>NOT(ISERROR(SEARCH('גיליון טכני'!$C$3,I4)))</xm:f>
            <xm:f>'גיליון טכני'!$C$3</xm:f>
            <x14:dxf>
              <fill>
                <patternFill patternType="lightDown">
                  <fgColor rgb="FFFBAFB1"/>
                </patternFill>
              </fill>
            </x14:dxf>
          </x14:cfRule>
          <x14:cfRule type="containsText" priority="4" operator="containsText" id="{9CF1EBC8-E35C-4EA0-A8E8-349601C8A956}">
            <xm:f>NOT(ISERROR(SEARCH('גיליון טכני'!$C$4,I4)))</xm:f>
            <xm:f>'גיליון טכני'!$C$4</xm:f>
            <x14:dxf>
              <fill>
                <patternFill patternType="lightDown">
                  <fgColor rgb="FFFFD347"/>
                </patternFill>
              </fill>
            </x14:dxf>
          </x14:cfRule>
          <xm:sqref>I4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 xr:uid="{47B178C3-FBA8-4B14-890A-B75DCB3FCE83}">
          <x14:formula1>
            <xm:f>'פרטי עובדים'!$C$1:$C$70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59468-19EB-45DE-86DF-C1071831C5A2}">
  <sheetPr codeName="גיליון11">
    <tabColor theme="5"/>
    <pageSetUpPr fitToPage="1"/>
  </sheetPr>
  <dimension ref="A1:AD15"/>
  <sheetViews>
    <sheetView showGridLines="0" rightToLeft="1" zoomScaleNormal="100" workbookViewId="0"/>
  </sheetViews>
  <sheetFormatPr defaultColWidth="9" defaultRowHeight="13.8"/>
  <cols>
    <col min="1" max="1" width="15.69921875" style="375" customWidth="1"/>
    <col min="2" max="2" width="22.8984375" style="374" customWidth="1"/>
    <col min="3" max="3" width="17.69921875" style="374" customWidth="1"/>
    <col min="4" max="4" width="12" style="374" bestFit="1" customWidth="1"/>
    <col min="5" max="5" width="40.59765625" style="374" customWidth="1"/>
    <col min="6" max="6" width="8.3984375" style="374" bestFit="1" customWidth="1"/>
    <col min="7" max="8" width="9" style="374"/>
    <col min="9" max="9" width="12" style="374" bestFit="1" customWidth="1"/>
    <col min="10" max="10" width="11.8984375" style="374" bestFit="1" customWidth="1"/>
    <col min="11" max="12" width="8.3984375" style="374" bestFit="1" customWidth="1"/>
    <col min="13" max="18" width="8.3984375" style="374" customWidth="1"/>
    <col min="19" max="28" width="9" style="374"/>
    <col min="29" max="29" width="9.09765625" style="374" bestFit="1" customWidth="1"/>
    <col min="30" max="30" width="10.59765625" style="374" bestFit="1" customWidth="1"/>
    <col min="31" max="31" width="8.3984375" style="374" customWidth="1"/>
    <col min="32" max="16384" width="9" style="374"/>
  </cols>
  <sheetData>
    <row r="1" spans="1:30" customFormat="1" ht="24.9" customHeight="1">
      <c r="A1" s="2"/>
      <c r="E1" s="31"/>
      <c r="J1" s="1"/>
      <c r="Z1" s="279"/>
      <c r="AA1" s="184" t="s">
        <v>295</v>
      </c>
      <c r="AB1" s="185" t="s">
        <v>681</v>
      </c>
      <c r="AD1" s="1"/>
    </row>
    <row r="2" spans="1:30" customFormat="1" ht="24.9" customHeight="1">
      <c r="A2" s="2"/>
      <c r="B2" s="22" t="str">
        <f>NameSearchCell</f>
        <v>בן דוד מאיה</v>
      </c>
      <c r="C2" s="64"/>
      <c r="E2" s="31"/>
      <c r="Z2" s="279"/>
      <c r="AA2" s="186" t="s">
        <v>296</v>
      </c>
      <c r="AB2" s="187" t="str">
        <f>NameSearchCell</f>
        <v>בן דוד מאיה</v>
      </c>
    </row>
    <row r="3" spans="1:30" customFormat="1" ht="24.9" customHeight="1">
      <c r="A3" s="2"/>
      <c r="B3" s="23" t="s">
        <v>62</v>
      </c>
      <c r="E3" s="31"/>
      <c r="G3" s="1"/>
      <c r="Z3" s="279"/>
      <c r="AA3" s="188" t="s">
        <v>297</v>
      </c>
      <c r="AB3" s="189" t="b">
        <f>AB2&lt;&gt;AB1</f>
        <v>0</v>
      </c>
    </row>
    <row r="4" spans="1:30" customFormat="1" ht="24.9" customHeight="1">
      <c r="A4" s="2"/>
      <c r="E4" s="31"/>
      <c r="Z4" s="279"/>
    </row>
    <row r="5" spans="1:30" customFormat="1" ht="24.9" customHeight="1">
      <c r="A5" s="2"/>
      <c r="E5" s="31"/>
    </row>
    <row r="6" spans="1:30" customFormat="1" ht="24.9" customHeight="1">
      <c r="A6" s="2"/>
      <c r="E6" s="31"/>
    </row>
    <row r="7" spans="1:30" customFormat="1" ht="24.9" customHeight="1">
      <c r="A7" s="2"/>
      <c r="E7" s="31"/>
    </row>
    <row r="8" spans="1:30" customFormat="1">
      <c r="A8" s="2"/>
      <c r="E8" s="31"/>
    </row>
    <row r="9" spans="1:30" customFormat="1">
      <c r="A9" s="39"/>
      <c r="B9" s="40"/>
      <c r="C9" s="40"/>
      <c r="E9" s="31"/>
    </row>
    <row r="10" spans="1:30" customFormat="1">
      <c r="A10" s="2"/>
      <c r="E10" s="31"/>
    </row>
    <row r="11" spans="1:30" customFormat="1">
      <c r="A11" s="152"/>
      <c r="B11" s="130"/>
      <c r="C11" s="64"/>
      <c r="E11" s="31"/>
    </row>
    <row r="12" spans="1:30" customFormat="1" ht="22.8">
      <c r="A12" s="86"/>
      <c r="B12" s="81" t="s">
        <v>90</v>
      </c>
      <c r="C12" s="38"/>
      <c r="D12" s="38"/>
      <c r="E12" s="272"/>
    </row>
    <row r="13" spans="1:30" customFormat="1" ht="15.6">
      <c r="A13" s="83" t="s">
        <v>18</v>
      </c>
      <c r="B13" s="84" t="s">
        <v>121</v>
      </c>
      <c r="C13" s="84" t="s">
        <v>24</v>
      </c>
      <c r="D13" s="84" t="s">
        <v>26</v>
      </c>
      <c r="E13" s="85" t="s">
        <v>22</v>
      </c>
    </row>
    <row r="14" spans="1:30">
      <c r="A14" s="384" cm="1">
        <f t="array" ref="A14:E15">_xlfn._xlws.SORT(_xlfn._xlws.FILTER(INDEX(tbLate[],_xlfn.SEQUENCE(ROWS(tbLate[])),{1,3,4,6,9}),tbLate[שם המאחר]=NameSearchCell,"אין איחורים למאבטח זה"),1,-1,FALSE)</f>
        <v>45566</v>
      </c>
      <c r="B14" s="385" t="str">
        <v>ג'</v>
      </c>
      <c r="C14" s="385" t="str">
        <v>צהרים19</v>
      </c>
      <c r="D14" s="386">
        <v>24</v>
      </c>
      <c r="E14" s="386" t="str">
        <v>-</v>
      </c>
    </row>
    <row r="15" spans="1:30">
      <c r="A15" s="387">
        <v>45566</v>
      </c>
      <c r="B15" s="388" t="str">
        <v>ג'</v>
      </c>
      <c r="C15" s="388" t="str">
        <v>צהרים19</v>
      </c>
      <c r="D15" s="388" t="str">
        <v>חור</v>
      </c>
      <c r="E15" s="388" t="str">
        <v xml:space="preserve">דוגמה דוגמה </v>
      </c>
    </row>
  </sheetData>
  <sheetProtection algorithmName="SHA-512" hashValue="zUOR6fUwG/5ar1/XEJH+t25biEsq5d52qK63B8HAGZb94lewCssYnxM1mxk84OeickErhK/mGyoU7wcAc4vhqg==" saltValue="XuyAqhe6RnKwo8JxOLEAFA==" spinCount="100000" sheet="1" objects="1" scenarios="1"/>
  <conditionalFormatting sqref="D1:D1048576 E12:E13">
    <cfRule type="containsText" dxfId="14" priority="2" operator="containsText" text="חור">
      <formula>NOT(ISERROR(SEARCH("חור",D1)))</formula>
    </cfRule>
  </conditionalFormatting>
  <conditionalFormatting sqref="B11">
    <cfRule type="colorScale" priority="1">
      <colorScale>
        <cfvo type="min"/>
        <cfvo type="percentile" val="50"/>
        <cfvo type="max"/>
        <color rgb="FFFBAFB1"/>
        <color rgb="FFFFF2AF"/>
        <color rgb="FFB3DFBF"/>
      </colorScale>
    </cfRule>
  </conditionalFormatting>
  <printOptions horizontalCentered="1"/>
  <pageMargins left="3.937007874015748E-2" right="3.937007874015748E-2" top="0.39370078740157483" bottom="0.39370078740157483" header="0.11811023622047245" footer="0.11811023622047245"/>
  <pageSetup paperSize="9" scale="38" fitToHeight="0" orientation="portrait" r:id="rId1"/>
  <headerFooter>
    <oddHeader>&amp;L&amp;D, &amp;T&amp;Rקובץ: &amp;F
גיליון: &amp;A</oddHeader>
    <oddFooter>&amp;Cעמוד &amp;P מתוך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4A186-36EF-4693-88A3-DCF9F2A7847A}">
  <sheetPr codeName="גיליון12">
    <tabColor theme="5"/>
    <pageSetUpPr fitToPage="1"/>
  </sheetPr>
  <dimension ref="A1:AF21"/>
  <sheetViews>
    <sheetView showGridLines="0" rightToLeft="1" zoomScaleNormal="100" zoomScaleSheetLayoutView="100" workbookViewId="0">
      <selection activeCell="C11" sqref="C11"/>
    </sheetView>
  </sheetViews>
  <sheetFormatPr defaultColWidth="9" defaultRowHeight="15"/>
  <cols>
    <col min="1" max="1" width="16.09765625" style="376" customWidth="1"/>
    <col min="2" max="2" width="18.19921875" style="376" customWidth="1"/>
    <col min="3" max="3" width="30.59765625" style="377" customWidth="1"/>
    <col min="4" max="6" width="40.59765625" style="377" customWidth="1"/>
    <col min="7" max="7" width="8.19921875" style="377" customWidth="1"/>
    <col min="8" max="11" width="35.59765625" style="377" customWidth="1"/>
    <col min="12" max="13" width="12" style="374" customWidth="1"/>
    <col min="14" max="14" width="11.5" style="374" customWidth="1"/>
    <col min="15" max="15" width="12" style="374" customWidth="1"/>
    <col min="16" max="16" width="10.59765625" style="374" customWidth="1"/>
    <col min="17" max="17" width="10.09765625" style="374" customWidth="1"/>
    <col min="18" max="18" width="14.09765625" style="374" customWidth="1"/>
    <col min="19" max="19" width="12" style="374" customWidth="1"/>
    <col min="20" max="20" width="13.5" style="374" customWidth="1"/>
    <col min="21" max="30" width="9" style="374"/>
    <col min="31" max="31" width="12" style="374" bestFit="1" customWidth="1"/>
    <col min="32" max="32" width="8.59765625" style="374" bestFit="1" customWidth="1"/>
    <col min="33" max="33" width="11.69921875" style="374" bestFit="1" customWidth="1"/>
    <col min="34" max="16384" width="9" style="374"/>
  </cols>
  <sheetData>
    <row r="1" spans="1:32" customFormat="1" ht="28.5" customHeight="1">
      <c r="A1" s="91"/>
      <c r="B1" s="2"/>
      <c r="D1" s="31"/>
      <c r="E1" s="31"/>
      <c r="F1" s="31"/>
      <c r="M1" s="65"/>
      <c r="N1" s="65"/>
      <c r="P1" s="1"/>
      <c r="T1" s="1"/>
      <c r="U1" s="279" t="s">
        <v>18</v>
      </c>
      <c r="V1" s="184" t="s">
        <v>295</v>
      </c>
      <c r="W1" s="185" t="s">
        <v>681</v>
      </c>
      <c r="Y1" s="184" t="s">
        <v>347</v>
      </c>
      <c r="Z1" s="185" t="s">
        <v>18</v>
      </c>
      <c r="AF1" s="1"/>
    </row>
    <row r="2" spans="1:32" customFormat="1" ht="28.5" customHeight="1">
      <c r="A2" s="91"/>
      <c r="B2" s="275" t="str">
        <f>NameSearchCell</f>
        <v>בן דוד מאיה</v>
      </c>
      <c r="C2" s="88"/>
      <c r="D2" s="31"/>
      <c r="E2" s="31"/>
      <c r="F2" s="31"/>
      <c r="M2" s="65"/>
      <c r="N2" s="65"/>
      <c r="U2" s="279" t="str">
        <f>IF(OR(ISERROR($A$14), ISNUMBER( SEARCH("אין",$A$14))), "תאריך", "אחמש")</f>
        <v>תאריך</v>
      </c>
      <c r="V2" s="186" t="s">
        <v>296</v>
      </c>
      <c r="W2" s="187" t="str">
        <f>NameSearchCell</f>
        <v>בן דוד מאיה</v>
      </c>
      <c r="Y2" s="186" t="s">
        <v>348</v>
      </c>
      <c r="Z2" s="273" t="str">
        <f>C11</f>
        <v>תאריך</v>
      </c>
    </row>
    <row r="3" spans="1:32" customFormat="1" ht="28.5" customHeight="1">
      <c r="A3" s="91"/>
      <c r="B3" s="276" t="s">
        <v>62</v>
      </c>
      <c r="D3" s="31"/>
      <c r="E3" s="31"/>
      <c r="F3" s="31"/>
      <c r="M3" s="65"/>
      <c r="N3" s="65"/>
      <c r="U3" s="279" t="str">
        <f>IF(OR(ISERROR($A$14), ISNUMBER( SEARCH("אין",$A$14))), "תאריך", "נושא")</f>
        <v>תאריך</v>
      </c>
      <c r="V3" s="188" t="s">
        <v>297</v>
      </c>
      <c r="W3" s="189" t="b">
        <f>W2&lt;&gt;W1</f>
        <v>0</v>
      </c>
      <c r="X3" s="274" t="b">
        <f>OR(W3,Z3)</f>
        <v>0</v>
      </c>
      <c r="Y3" s="188" t="s">
        <v>297</v>
      </c>
      <c r="Z3" s="189" t="b">
        <f>Z2&lt;&gt;Z1</f>
        <v>0</v>
      </c>
    </row>
    <row r="4" spans="1:32" customFormat="1" ht="28.5" customHeight="1">
      <c r="A4" s="91"/>
      <c r="B4" s="2"/>
      <c r="D4" s="31"/>
      <c r="E4" s="31"/>
      <c r="F4" s="31"/>
      <c r="M4" s="65"/>
      <c r="N4" s="65"/>
      <c r="U4" s="279" t="str">
        <f>IF(OR(ISERROR($A$14), ISNUMBER( SEARCH("אין",$A$14))), "תאריך", "ציון")</f>
        <v>תאריך</v>
      </c>
    </row>
    <row r="5" spans="1:32" customFormat="1" ht="28.5" customHeight="1">
      <c r="A5" s="91"/>
      <c r="B5" s="2"/>
      <c r="D5" s="31"/>
      <c r="E5" s="31"/>
      <c r="F5" s="31"/>
      <c r="M5" s="65"/>
      <c r="N5" s="65"/>
    </row>
    <row r="6" spans="1:32" customFormat="1" ht="28.5" customHeight="1">
      <c r="A6" s="63"/>
      <c r="B6" s="16"/>
      <c r="C6" s="5"/>
      <c r="D6" s="65"/>
      <c r="E6" s="65"/>
      <c r="F6" s="65"/>
      <c r="G6" s="5"/>
      <c r="H6" s="5"/>
      <c r="I6" s="5"/>
      <c r="J6" s="5"/>
      <c r="K6" s="5"/>
      <c r="M6" s="65"/>
      <c r="N6" s="65"/>
    </row>
    <row r="7" spans="1:32" customFormat="1" ht="28.5" customHeight="1">
      <c r="A7" s="63"/>
      <c r="B7" s="16"/>
      <c r="C7" s="5"/>
      <c r="D7" s="65"/>
      <c r="E7" s="65"/>
      <c r="F7" s="65"/>
      <c r="G7" s="5"/>
      <c r="H7" s="5"/>
      <c r="I7" s="5"/>
      <c r="J7" s="5"/>
      <c r="K7" s="5"/>
    </row>
    <row r="8" spans="1:32" customFormat="1" ht="13.8">
      <c r="A8" s="63"/>
      <c r="B8" s="16"/>
      <c r="C8" s="5"/>
      <c r="D8" s="65"/>
      <c r="E8" s="65"/>
      <c r="F8" s="65"/>
      <c r="G8" s="5"/>
      <c r="H8" s="5"/>
      <c r="I8" s="5"/>
      <c r="J8" s="5"/>
      <c r="K8" s="5"/>
    </row>
    <row r="9" spans="1:32" customFormat="1" ht="13.8">
      <c r="A9" s="92"/>
      <c r="B9" s="39"/>
      <c r="C9" s="40"/>
      <c r="D9" s="65"/>
      <c r="E9" s="65"/>
      <c r="F9" s="65"/>
      <c r="G9" s="5"/>
      <c r="H9" s="5"/>
      <c r="I9" s="5"/>
      <c r="J9" s="5"/>
      <c r="K9" s="5"/>
    </row>
    <row r="10" spans="1:32" customFormat="1" ht="13.8">
      <c r="A10" s="63"/>
      <c r="B10" s="16"/>
      <c r="C10" s="5"/>
      <c r="D10" s="65"/>
      <c r="E10" s="65"/>
      <c r="F10" s="65"/>
      <c r="G10" s="5"/>
      <c r="H10" s="5"/>
      <c r="I10" s="5"/>
      <c r="J10" s="5"/>
      <c r="K10" s="5"/>
    </row>
    <row r="11" spans="1:32" customFormat="1" ht="13.8">
      <c r="A11" s="63"/>
      <c r="B11" s="277" t="s">
        <v>288</v>
      </c>
      <c r="C11" s="270" t="s">
        <v>18</v>
      </c>
      <c r="D11" s="65"/>
      <c r="E11" s="65"/>
      <c r="F11" s="65"/>
      <c r="G11" s="5"/>
      <c r="H11" s="5"/>
      <c r="I11" s="5"/>
      <c r="J11" s="5"/>
      <c r="K11" s="5"/>
    </row>
    <row r="12" spans="1:32" customFormat="1" ht="22.8">
      <c r="A12" s="93"/>
      <c r="B12" s="278" t="s">
        <v>91</v>
      </c>
      <c r="C12" s="30"/>
      <c r="D12" s="30"/>
      <c r="E12" s="66"/>
      <c r="F12" s="66"/>
      <c r="G12" s="30"/>
      <c r="H12" s="30"/>
      <c r="I12" s="5"/>
      <c r="J12" s="5"/>
      <c r="K12" s="5"/>
    </row>
    <row r="13" spans="1:32" customFormat="1" ht="15.6">
      <c r="A13" s="94" t="s">
        <v>18</v>
      </c>
      <c r="B13" s="83" t="s">
        <v>92</v>
      </c>
      <c r="C13" s="84" t="s">
        <v>27</v>
      </c>
      <c r="D13" s="85" t="s">
        <v>28</v>
      </c>
      <c r="E13" s="85" t="s">
        <v>29</v>
      </c>
      <c r="F13" s="85" t="s">
        <v>30</v>
      </c>
      <c r="G13" s="84" t="s">
        <v>53</v>
      </c>
      <c r="H13" s="84" t="s">
        <v>22</v>
      </c>
      <c r="I13" s="5"/>
      <c r="J13" s="5"/>
      <c r="K13" s="5"/>
    </row>
    <row r="14" spans="1:32" ht="30">
      <c r="A14" s="376" t="str" cm="1">
        <f t="array" ref="A14">_xlfn._xlws.SORT(_xlfn._xlws.FILTER(INDEX(tbPerfReview[],_xlfn.SEQUENCE(ROWS(tbPerfReview[])),{1,3,5,6,7,8,10,11}),tbPerfReview[מאבטח]=NameSearchCell,"אין ביקורות למאבטח זה"),_xlfn.SWITCH($C$11,"תאריך",1,"אחמש",2,"נושא",3,"ציון",7,0,1),-1,FALSE)</f>
        <v>אין ביקורות למאבטח זה</v>
      </c>
      <c r="I14" s="374"/>
      <c r="J14" s="374"/>
      <c r="K14" s="374"/>
    </row>
    <row r="15" spans="1:32">
      <c r="I15" s="374"/>
      <c r="J15" s="374"/>
      <c r="K15" s="374"/>
    </row>
    <row r="16" spans="1:32">
      <c r="I16" s="374"/>
      <c r="J16" s="374"/>
      <c r="K16" s="374"/>
    </row>
    <row r="17" spans="9:11">
      <c r="I17" s="374"/>
      <c r="J17" s="374"/>
      <c r="K17" s="374"/>
    </row>
    <row r="18" spans="9:11">
      <c r="I18" s="374"/>
      <c r="J18" s="374"/>
      <c r="K18" s="374"/>
    </row>
    <row r="19" spans="9:11">
      <c r="I19" s="374"/>
      <c r="J19" s="374"/>
      <c r="K19" s="374"/>
    </row>
    <row r="20" spans="9:11">
      <c r="I20" s="374"/>
      <c r="J20" s="374"/>
      <c r="K20" s="374"/>
    </row>
    <row r="21" spans="9:11">
      <c r="I21" s="374"/>
      <c r="J21" s="374"/>
      <c r="K21" s="374"/>
    </row>
  </sheetData>
  <sheetProtection algorithmName="SHA-512" hashValue="hJ2JdwZ4KdKeR4/bCvcLIFYu1/wOmvWdOq33IWet4g25FrBfj5PJl6z4NJEX4rRAkA34rdOKWbL3BbmN0s6ZYA==" saltValue="ahMcWhbiLWaDibXbI8J+8A==" spinCount="100000" sheet="1" objects="1" scenarios="1"/>
  <conditionalFormatting sqref="C11">
    <cfRule type="colorScale" priority="2">
      <colorScale>
        <cfvo type="min"/>
        <cfvo type="percentile" val="50"/>
        <cfvo type="max"/>
        <color rgb="FFFBAFB1"/>
        <color rgb="FFFFF2AF"/>
        <color rgb="FFB3DFBF"/>
      </colorScale>
    </cfRule>
  </conditionalFormatting>
  <conditionalFormatting sqref="G1:G1048576">
    <cfRule type="containsText" dxfId="13" priority="1" operator="containsText" text="שלילית">
      <formula>NOT(ISERROR(SEARCH("שלילית",G1)))</formula>
    </cfRule>
  </conditionalFormatting>
  <dataValidations count="1">
    <dataValidation type="list" allowBlank="1" showInputMessage="1" showErrorMessage="1" sqref="C11" xr:uid="{063E7344-E4CC-437A-97CD-AD62D101C119}">
      <formula1>$U$1:$U$4</formula1>
    </dataValidation>
  </dataValidations>
  <printOptions horizontalCentered="1"/>
  <pageMargins left="3.937007874015748E-2" right="3.937007874015748E-2" top="0.39370078740157483" bottom="0.39370078740157483" header="0.11811023622047245" footer="0.11811023622047245"/>
  <pageSetup paperSize="8" scale="83" fitToHeight="0" orientation="landscape" r:id="rId1"/>
  <headerFooter>
    <oddHeader>&amp;L&amp;D, &amp;T&amp;Rקובץ: &amp;F
גיליון: &amp;A</oddHeader>
    <oddFooter>&amp;Cעמוד &amp;P מתוך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B3BEF-40FC-4CCC-B437-3E428AE58F2A}">
  <sheetPr codeName="גיליון18">
    <tabColor theme="5"/>
    <pageSetUpPr fitToPage="1"/>
  </sheetPr>
  <dimension ref="A1:AF14"/>
  <sheetViews>
    <sheetView showGridLines="0" rightToLeft="1" zoomScaleNormal="100" workbookViewId="0"/>
  </sheetViews>
  <sheetFormatPr defaultColWidth="9" defaultRowHeight="13.8"/>
  <cols>
    <col min="1" max="1" width="15.8984375" style="375" customWidth="1"/>
    <col min="2" max="3" width="24.3984375" style="374" customWidth="1"/>
    <col min="4" max="6" width="31" style="374" customWidth="1"/>
    <col min="7" max="7" width="13.5" style="374" customWidth="1"/>
    <col min="8" max="8" width="37.8984375" style="374" customWidth="1"/>
    <col min="9" max="9" width="12" style="374" bestFit="1" customWidth="1"/>
    <col min="10" max="10" width="11.5" style="374" bestFit="1" customWidth="1"/>
    <col min="11" max="11" width="11.59765625" style="374" bestFit="1" customWidth="1"/>
    <col min="12" max="19" width="9" style="374"/>
    <col min="20" max="20" width="12" style="374" bestFit="1" customWidth="1"/>
    <col min="21" max="21" width="11.5" style="374" bestFit="1" customWidth="1"/>
    <col min="22" max="22" width="14.59765625" style="374" bestFit="1" customWidth="1"/>
    <col min="23" max="23" width="9" style="374"/>
    <col min="24" max="24" width="12" style="374" bestFit="1" customWidth="1"/>
    <col min="25" max="25" width="13.5" style="374" bestFit="1" customWidth="1"/>
    <col min="26" max="26" width="3.59765625" style="374" bestFit="1" customWidth="1"/>
    <col min="27" max="27" width="8.09765625" style="374" bestFit="1" customWidth="1"/>
    <col min="28" max="28" width="12" style="374" bestFit="1" customWidth="1"/>
    <col min="29" max="29" width="8.59765625" style="374" bestFit="1" customWidth="1"/>
    <col min="30" max="30" width="11.69921875" style="374" bestFit="1" customWidth="1"/>
    <col min="31" max="16384" width="9" style="374"/>
  </cols>
  <sheetData>
    <row r="1" spans="1:32" customFormat="1" ht="28.5" customHeight="1">
      <c r="A1" s="2"/>
      <c r="U1" s="1"/>
      <c r="Y1" s="1"/>
      <c r="AA1" s="279" t="s">
        <v>18</v>
      </c>
      <c r="AB1" s="184" t="s">
        <v>295</v>
      </c>
      <c r="AC1" s="185" t="s">
        <v>681</v>
      </c>
      <c r="AE1" s="184" t="s">
        <v>347</v>
      </c>
      <c r="AF1" s="185" t="s">
        <v>18</v>
      </c>
    </row>
    <row r="2" spans="1:32" customFormat="1" ht="28.5" customHeight="1">
      <c r="A2" s="2"/>
      <c r="B2" s="22" t="str">
        <f>NameSearchCell</f>
        <v>בן דוד מאיה</v>
      </c>
      <c r="AA2" s="279" t="str">
        <f>IF(OR(ISERROR($A$14), ISNUMBER( SEARCH("אין",$A$14))), "תאריך", "אחמש")</f>
        <v>אחמש</v>
      </c>
      <c r="AB2" s="186" t="s">
        <v>296</v>
      </c>
      <c r="AC2" s="187" t="str">
        <f>NameSearchCell</f>
        <v>בן דוד מאיה</v>
      </c>
      <c r="AE2" s="186" t="s">
        <v>348</v>
      </c>
      <c r="AF2" s="273" t="str">
        <f>C11</f>
        <v>תאריך</v>
      </c>
    </row>
    <row r="3" spans="1:32" customFormat="1" ht="28.5" customHeight="1">
      <c r="A3" s="2"/>
      <c r="B3" s="23" t="s">
        <v>62</v>
      </c>
      <c r="L3" s="1"/>
      <c r="AA3" s="279" t="str">
        <f>IF(OR(ISERROR($A$14), ISNUMBER( SEARCH("אין",$A$14))), "תאריך", "נושא")</f>
        <v>נושא</v>
      </c>
      <c r="AB3" s="188" t="s">
        <v>297</v>
      </c>
      <c r="AC3" s="189" t="b">
        <f>AC2&lt;&gt;AC1</f>
        <v>0</v>
      </c>
      <c r="AD3" s="274" t="b">
        <f>OR(AC3,AF3)</f>
        <v>0</v>
      </c>
      <c r="AE3" s="188" t="s">
        <v>297</v>
      </c>
      <c r="AF3" s="189" t="b">
        <f>AF2&lt;&gt;AF1</f>
        <v>0</v>
      </c>
    </row>
    <row r="4" spans="1:32" customFormat="1" ht="28.5" customHeight="1">
      <c r="A4" s="2"/>
      <c r="B4" s="65"/>
      <c r="AA4" s="279" t="str">
        <f>IF(OR(ISERROR($A$14), ISNUMBER( SEARCH("אין",$A$14))), "תאריך", "ציון")</f>
        <v>ציון</v>
      </c>
    </row>
    <row r="5" spans="1:32" customFormat="1" ht="28.5" customHeight="1">
      <c r="A5" s="2"/>
    </row>
    <row r="6" spans="1:32" customFormat="1" ht="28.5" customHeight="1">
      <c r="B6" s="5"/>
      <c r="C6" s="5"/>
      <c r="D6" s="5"/>
      <c r="E6" s="5"/>
      <c r="F6" s="5"/>
      <c r="G6" s="5"/>
      <c r="H6" s="5"/>
    </row>
    <row r="7" spans="1:32" customFormat="1" ht="28.5" customHeight="1">
      <c r="A7" s="16"/>
      <c r="B7" s="5"/>
      <c r="C7" s="5"/>
      <c r="D7" s="5"/>
      <c r="E7" s="5"/>
      <c r="F7" s="5"/>
      <c r="G7" s="5"/>
      <c r="H7" s="5"/>
    </row>
    <row r="8" spans="1:32" customFormat="1">
      <c r="A8" s="16"/>
      <c r="B8" s="5"/>
      <c r="C8" s="5"/>
      <c r="D8" s="5"/>
      <c r="E8" s="5"/>
      <c r="F8" s="5"/>
      <c r="G8" s="5"/>
      <c r="H8" s="5"/>
    </row>
    <row r="9" spans="1:32" customFormat="1">
      <c r="A9" s="39"/>
      <c r="B9" s="40"/>
      <c r="C9" s="40"/>
      <c r="D9" s="5"/>
      <c r="E9" s="5"/>
      <c r="F9" s="5"/>
      <c r="G9" s="5"/>
      <c r="H9" s="5"/>
    </row>
    <row r="10" spans="1:32" customFormat="1">
      <c r="A10" s="151"/>
      <c r="B10" s="5"/>
      <c r="C10" s="5"/>
      <c r="D10" s="5"/>
      <c r="E10" s="5"/>
      <c r="F10" s="5"/>
      <c r="G10" s="5"/>
      <c r="H10" s="5"/>
    </row>
    <row r="11" spans="1:32" customFormat="1">
      <c r="A11" s="151"/>
      <c r="B11" s="152" t="s">
        <v>288</v>
      </c>
      <c r="C11" s="270" t="s">
        <v>18</v>
      </c>
      <c r="D11" s="5"/>
      <c r="E11" s="5"/>
      <c r="F11" s="5"/>
      <c r="G11" s="5"/>
      <c r="H11" s="5"/>
    </row>
    <row r="12" spans="1:32" customFormat="1" ht="28.5" customHeight="1">
      <c r="A12" s="80"/>
      <c r="B12" s="82" t="s">
        <v>100</v>
      </c>
      <c r="C12" s="30"/>
      <c r="D12" s="30"/>
      <c r="E12" s="30"/>
      <c r="F12" s="30"/>
      <c r="G12" s="30"/>
      <c r="H12" s="30"/>
    </row>
    <row r="13" spans="1:32" customFormat="1" ht="28.5" customHeight="1">
      <c r="A13" s="83" t="s">
        <v>18</v>
      </c>
      <c r="B13" s="84" t="s">
        <v>92</v>
      </c>
      <c r="C13" s="84" t="s">
        <v>27</v>
      </c>
      <c r="D13" s="84" t="s">
        <v>28</v>
      </c>
      <c r="E13" s="84" t="s">
        <v>29</v>
      </c>
      <c r="F13" s="84" t="s">
        <v>30</v>
      </c>
      <c r="G13" s="84" t="s">
        <v>53</v>
      </c>
      <c r="H13" s="84" t="s">
        <v>22</v>
      </c>
    </row>
    <row r="14" spans="1:32">
      <c r="A14" s="372" cm="1">
        <f t="array" ref="A14:H14">_xlfn._xlws.SORT(_xlfn._xlws.FILTER(INDEX(tbDrills[],_xlfn.SEQUENCE(ROWS(tbDrills[])),{1,3,5,6,7,8,10,11}),tbDrills[מאבטח]=NameSearchCell,"אין תרגילים למאבטח זה"),_xlfn.SWITCH($C$11,"תאריך",1,"אחמש",2,"נושא",3,"ציון",7,0,1),-1,FALSE)</f>
        <v>45572</v>
      </c>
      <c r="B14" s="373" t="str">
        <v>דוגמה</v>
      </c>
      <c r="C14" s="373" t="str">
        <v xml:space="preserve">דוגמה דוגמה דוגמה </v>
      </c>
      <c r="D14" s="374" t="str">
        <v xml:space="preserve">דוגמה דוגמה </v>
      </c>
      <c r="E14" s="374" t="str">
        <v xml:space="preserve">דוגמה דוגמה </v>
      </c>
      <c r="F14" s="374" t="str">
        <v xml:space="preserve">דוגמה דוגמה </v>
      </c>
      <c r="G14" s="374" t="str">
        <v>לימודי</v>
      </c>
      <c r="H14" s="374" t="str">
        <v xml:space="preserve">דוגמה דוגמה </v>
      </c>
    </row>
  </sheetData>
  <sheetProtection algorithmName="SHA-512" hashValue="mUmJtM/1bOaHQ7XeKvaCy/YLiOEpzG5vPrj3LNnaWPXrLBJGHW4Mne5pZsFtU+PIWmUjlZKnZShQQHYBf8LOHw==" saltValue="3CPOKxiTogy4150hneQpyg==" spinCount="100000" sheet="1" objects="1" scenarios="1"/>
  <conditionalFormatting sqref="C11">
    <cfRule type="colorScale" priority="1">
      <colorScale>
        <cfvo type="min"/>
        <cfvo type="percentile" val="50"/>
        <cfvo type="max"/>
        <color rgb="FFFBAFB1"/>
        <color rgb="FFFFF2AF"/>
        <color rgb="FFB3DFBF"/>
      </colorScale>
    </cfRule>
  </conditionalFormatting>
  <dataValidations count="1">
    <dataValidation type="list" allowBlank="1" showInputMessage="1" showErrorMessage="1" sqref="C11" xr:uid="{645AADB6-A8D5-4655-B11F-41AA999F6B28}">
      <formula1>$AA$1:$AA$4</formula1>
    </dataValidation>
  </dataValidations>
  <printOptions horizontalCentered="1"/>
  <pageMargins left="3.937007874015748E-2" right="3.937007874015748E-2" top="0.39370078740157483" bottom="0.39370078740157483" header="0.11811023622047245" footer="0.11811023622047245"/>
  <pageSetup paperSize="9" scale="24" fitToHeight="0" orientation="portrait" r:id="rId1"/>
  <headerFooter>
    <oddHeader>&amp;L&amp;D, &amp;T&amp;Rקובץ: &amp;F
גיליון: &amp;A</oddHeader>
    <oddFooter>&amp;Cעמוד &amp;P מתוך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CE14-1398-4336-A8EA-3E051732BEAE}">
  <sheetPr codeName="גיליון20">
    <tabColor rgb="FF002060"/>
    <pageSetUpPr fitToPage="1"/>
  </sheetPr>
  <dimension ref="B6:AC49"/>
  <sheetViews>
    <sheetView showGridLines="0" rightToLeft="1" zoomScale="85" zoomScaleNormal="85" workbookViewId="0">
      <selection activeCell="A5" sqref="A5"/>
    </sheetView>
  </sheetViews>
  <sheetFormatPr defaultRowHeight="13.8"/>
  <cols>
    <col min="2" max="2" width="18.59765625" style="1" customWidth="1"/>
    <col min="3" max="3" width="9" customWidth="1"/>
    <col min="4" max="4" width="18.59765625" style="1" customWidth="1"/>
    <col min="5" max="5" width="9" customWidth="1"/>
    <col min="6" max="6" width="18.59765625" customWidth="1"/>
    <col min="7" max="7" width="9" customWidth="1"/>
    <col min="8" max="8" width="18.59765625" customWidth="1"/>
    <col min="9" max="9" width="9" customWidth="1"/>
    <col min="10" max="10" width="18.59765625" customWidth="1"/>
    <col min="12" max="12" width="18.59765625" customWidth="1"/>
    <col min="14" max="14" width="18.59765625" customWidth="1"/>
    <col min="16" max="16" width="18.59765625" customWidth="1"/>
    <col min="18" max="18" width="18.59765625" customWidth="1"/>
    <col min="19" max="19" width="15.59765625" bestFit="1" customWidth="1"/>
    <col min="20" max="20" width="7.8984375" bestFit="1" customWidth="1"/>
    <col min="21" max="21" width="6.09765625" bestFit="1" customWidth="1"/>
    <col min="22" max="22" width="5" bestFit="1" customWidth="1"/>
    <col min="23" max="23" width="5.3984375" bestFit="1" customWidth="1"/>
    <col min="24" max="24" width="8.09765625" bestFit="1" customWidth="1"/>
    <col min="28" max="28" width="15.59765625" bestFit="1" customWidth="1"/>
    <col min="29" max="29" width="14.8984375" bestFit="1" customWidth="1"/>
  </cols>
  <sheetData>
    <row r="6" spans="2:29">
      <c r="T6" s="1"/>
      <c r="AC6" s="1"/>
    </row>
    <row r="7" spans="2:29">
      <c r="T7" s="1"/>
      <c r="AC7" s="1"/>
    </row>
    <row r="9" spans="2:29" ht="22.8">
      <c r="B9" s="214"/>
      <c r="C9" s="214"/>
      <c r="D9" s="214"/>
      <c r="E9" s="214" t="s">
        <v>325</v>
      </c>
      <c r="F9" s="214"/>
      <c r="G9" s="214"/>
      <c r="H9" s="214"/>
      <c r="J9" s="214"/>
      <c r="K9" s="214"/>
      <c r="L9" s="214"/>
      <c r="M9" s="214" t="s">
        <v>95</v>
      </c>
      <c r="N9" s="214"/>
      <c r="O9" s="214"/>
      <c r="P9" s="214"/>
      <c r="Q9" s="214"/>
      <c r="R9" s="214"/>
    </row>
    <row r="10" spans="2:29">
      <c r="B10" s="215"/>
      <c r="C10" s="216"/>
      <c r="D10" s="215" t="s">
        <v>322</v>
      </c>
      <c r="E10" s="216"/>
      <c r="F10" s="215"/>
      <c r="H10" s="217" t="s">
        <v>302</v>
      </c>
      <c r="J10" s="217"/>
      <c r="L10" s="217"/>
      <c r="N10" s="217"/>
      <c r="P10" s="217"/>
      <c r="R10" s="217"/>
    </row>
    <row r="11" spans="2:29" ht="15" customHeight="1">
      <c r="B11" s="115" t="str">
        <f>"מוסמכים ומורשים (" &amp; COUNTIF(_xlfn.ANCHORARRAY(B13),"&lt;&gt;---") &amp;")"</f>
        <v>מוסמכים ומורשים (37)</v>
      </c>
      <c r="D11" s="115" t="str">
        <f>"מוסמכים, לא מורשים (" &amp; COUNTIF(_xlfn.ANCHORARRAY(D13),"&lt;&gt;---") &amp;")"</f>
        <v>מוסמכים, לא מורשים (0)</v>
      </c>
      <c r="F11" s="115" t="str">
        <f>"לא מוסמכים (" &amp; COUNTIF(_xlfn.ANCHORARRAY(F13),"&lt;&gt;---") &amp;")"</f>
        <v>לא מוסמכים (11)</v>
      </c>
      <c r="H11" s="115" t="str">
        <f>"חובשים (" &amp; COUNTIF(_xlfn.ANCHORARRAY(H13),"&lt;&gt;---") &amp;")"</f>
        <v>חובשים (3)</v>
      </c>
      <c r="J11" s="115" t="str">
        <f>"מאבטחי ראנד (" &amp; COUNTIF(_xlfn.ANCHORARRAY(J13),"&lt;&gt;---") &amp;")"</f>
        <v>מאבטחי ראנד (3)</v>
      </c>
      <c r="L11" s="115" t="str">
        <f>"ראשי צוות (" &amp; COUNTIF(_xlfn.ANCHORARRAY(L13),"&lt;&gt;---") &amp;")"</f>
        <v>ראשי צוות (1)</v>
      </c>
      <c r="N11" s="115" t="str">
        <f>"מוקדנים (" &amp; COUNTIF(_xlfn.ANCHORARRAY(N13),"&lt;&gt;---") &amp;")"</f>
        <v>מוקדנים (4)</v>
      </c>
      <c r="P11" s="115" t="str">
        <f>"אחמשים (" &amp; COUNTIF(_xlfn.ANCHORARRAY(P13),"&lt;&gt;---") &amp;")"</f>
        <v>אחמשים (1)</v>
      </c>
      <c r="R11" s="115" t="str">
        <f>"נהגים (" &amp; COUNTIF(_xlfn.ANCHORARRAY(R13),"&lt;&gt;---") &amp;")"</f>
        <v>נהגים (1)</v>
      </c>
    </row>
    <row r="12" spans="2:29">
      <c r="B12" s="213" t="s">
        <v>156</v>
      </c>
      <c r="D12" s="213" t="s">
        <v>156</v>
      </c>
      <c r="F12" s="213" t="s">
        <v>156</v>
      </c>
      <c r="H12" s="213" t="s">
        <v>156</v>
      </c>
      <c r="J12" s="213" t="s">
        <v>156</v>
      </c>
      <c r="L12" s="213" t="s">
        <v>156</v>
      </c>
      <c r="N12" s="213" t="s">
        <v>156</v>
      </c>
      <c r="P12" s="213" t="s">
        <v>156</v>
      </c>
      <c r="R12" s="213" t="s">
        <v>156</v>
      </c>
    </row>
    <row r="13" spans="2:29">
      <c r="B13" s="1" t="str" cm="1">
        <f t="array" ref="B13:B49">_xlfn._xlws.SORT(_xlfn._xlws.FILTER(tbEmploDetails[שם מלא],(tbEmploDetails[האם מוסמך ע.שליטה]="מוסמך") * (tbEmploDetails[האם מורשה ע.שליטה]="מורשה") * (tbEmploDetails[האם פעיל]="פעיל") * (tbEmploDetails[תפקיד]&lt;&gt;"אחר"), "---"))</f>
        <v>אבידן שירה</v>
      </c>
      <c r="D13" s="1" t="str" cm="1">
        <f t="array" ref="D13">_xlfn._xlws.SORT(_xlfn._xlws.FILTER(tbEmploDetails[שם מלא],(tbEmploDetails[האם מוסמך ע.שליטה]="מוסמך") * (tbEmploDetails[האם מורשה ע.שליטה]="לא מורשה") * (tbEmploDetails[האם פעיל]="פעיל") * (tbEmploDetails[תפקיד]&lt;&gt;"אחר"), "---"))</f>
        <v>---</v>
      </c>
      <c r="F13" s="1" t="str" cm="1">
        <f t="array" ref="F13:F23">_xlfn._xlws.SORT(_xlfn._xlws.FILTER(tbEmploDetails[שם מלא],(tbEmploDetails[האם מוסמך ע.שליטה]="לא מוסמך") * (tbEmploDetails[האם פעיל]="פעיל") * (tbEmploDetails[תפקיד]&lt;&gt;"אחר")  * (tbEmploDetails[תפקיד]&lt;&gt;"נהג"), "---"))</f>
        <v>אורן עומר</v>
      </c>
      <c r="H13" s="1" t="str" cm="1">
        <f t="array" ref="H13:H15">_xlfn._xlws.SORT(_xlfn._xlws.FILTER(tbEmploDetails[שם מלא],(tbEmploDetails[האם פעיל]="פעיל") * (tbEmploDetails[האם חובש]="חובש"), "---"))</f>
        <v>אורן עומר</v>
      </c>
      <c r="J13" s="1" t="str" cm="1">
        <f t="array" ref="J13:J15">_xlfn._xlws.SORT(_xlfn._xlws.FILTER(tbEmploDetails[שם מלא],(tbEmploDetails[האם פעיל]="פעיל") * (tbEmploDetails[תפקיד]="ראנד"), "---"))</f>
        <v>אורן עומר</v>
      </c>
      <c r="L13" s="1" t="str" cm="1">
        <f t="array" ref="L13">_xlfn._xlws.SORT(_xlfn._xlws.FILTER(tbEmploDetails[שם מלא],(tbEmploDetails[האם פעיל]="פעיל") * (tbEmploDetails[תפקיד]="ראש צוות"), "---"))</f>
        <v>לרנר אלעד</v>
      </c>
      <c r="N13" s="1" t="str" cm="1">
        <f t="array" ref="N13:N16">_xlfn._xlws.SORT(_xlfn._xlws.FILTER(tbEmploDetails[שם מלא],(tbEmploDetails[האם פעיל]="פעיל") * (tbEmploDetails[תפקיד]="מוקד"), "---"))</f>
        <v>אבידן שירה</v>
      </c>
      <c r="P13" s="1" t="str" cm="1">
        <f t="array" ref="P13">_xlfn._xlws.SORT(_xlfn._xlws.FILTER(tbEmploDetails[שם מלא],(tbEmploDetails[האם פעיל]="פעיל") * (tbEmploDetails[תפקיד]="אחמש"), "---"))</f>
        <v>גולדשטיין יאיר</v>
      </c>
      <c r="R13" s="1" t="str" cm="1">
        <f t="array" ref="R13">_xlfn._xlws.SORT(_xlfn._xlws.FILTER(tbEmploDetails[שם מלא],(tbEmploDetails[האם פעיל]="פעיל") * (tbEmploDetails[תפקיד]="נהג"), "---"))</f>
        <v>רוזן נעם</v>
      </c>
    </row>
    <row r="14" spans="2:29">
      <c r="B14" s="1" t="str">
        <v>אלוני רועי</v>
      </c>
      <c r="F14" t="str">
        <v>אלון עומר</v>
      </c>
      <c r="H14" t="str">
        <v>ברגר סיוון</v>
      </c>
      <c r="J14" t="str">
        <v>ברגר סיוון</v>
      </c>
      <c r="N14" t="str">
        <v>נחשון דנה</v>
      </c>
    </row>
    <row r="15" spans="2:29">
      <c r="B15" s="1" t="str">
        <v>בן ארי יעל</v>
      </c>
      <c r="F15" t="str">
        <v>בלום גיל</v>
      </c>
      <c r="H15" t="str">
        <v>שדה יערה</v>
      </c>
      <c r="J15" t="str">
        <v>קרמר דניאל</v>
      </c>
      <c r="N15" t="str">
        <v>פרידמן רונית</v>
      </c>
    </row>
    <row r="16" spans="2:29">
      <c r="B16" s="1" t="str">
        <v>ברונר ניב</v>
      </c>
      <c r="F16" t="str">
        <v>בן דוד מאיה</v>
      </c>
      <c r="N16" t="str">
        <v>שגיא ליאת</v>
      </c>
    </row>
    <row r="17" spans="2:6">
      <c r="B17" s="1" t="str">
        <v>ברוש עידן</v>
      </c>
      <c r="F17" t="str">
        <v>ברגר סיוון</v>
      </c>
    </row>
    <row r="18" spans="2:6">
      <c r="B18" s="1" t="str">
        <v>ברק רותם</v>
      </c>
      <c r="F18" t="str">
        <v>הראל דניאל</v>
      </c>
    </row>
    <row r="19" spans="2:6">
      <c r="B19" s="1" t="str">
        <v>גבאי אלון</v>
      </c>
      <c r="F19" t="str">
        <v>כהן עדי</v>
      </c>
    </row>
    <row r="20" spans="2:6">
      <c r="B20" s="1" t="str">
        <v>גולדשטיין יאיר</v>
      </c>
      <c r="F20" t="str">
        <v>נחשון דנה</v>
      </c>
    </row>
    <row r="21" spans="2:6">
      <c r="B21" s="1" t="str">
        <v>גל יובל</v>
      </c>
      <c r="F21" t="str">
        <v>פרידמן רונית</v>
      </c>
    </row>
    <row r="22" spans="2:6">
      <c r="B22" s="1" t="str">
        <v>גרין איתי</v>
      </c>
      <c r="F22" t="str">
        <v>קפלן רונית</v>
      </c>
    </row>
    <row r="23" spans="2:6">
      <c r="B23" s="1" t="str">
        <v>דיין טל</v>
      </c>
      <c r="F23" t="str">
        <v>רז אלעד</v>
      </c>
    </row>
    <row r="24" spans="2:6">
      <c r="B24" s="1" t="str">
        <v>דקל יעל</v>
      </c>
    </row>
    <row r="25" spans="2:6">
      <c r="B25" s="1" t="str">
        <v>דרורי יונתן</v>
      </c>
    </row>
    <row r="26" spans="2:6">
      <c r="B26" s="1" t="str">
        <v>הורוביץ יואב</v>
      </c>
    </row>
    <row r="27" spans="2:6">
      <c r="B27" s="1" t="str">
        <v>הררי יוני</v>
      </c>
    </row>
    <row r="28" spans="2:6">
      <c r="B28" s="1" t="str">
        <v>זילברמן איתי</v>
      </c>
    </row>
    <row r="29" spans="2:6">
      <c r="B29" s="1" t="str">
        <v>זלצר נועה</v>
      </c>
    </row>
    <row r="30" spans="2:6">
      <c r="B30" s="1" t="str">
        <v>כהן אורי</v>
      </c>
    </row>
    <row r="31" spans="2:6">
      <c r="B31" s="1" t="str">
        <v>לרנר אלעד</v>
      </c>
    </row>
    <row r="32" spans="2:6">
      <c r="B32" s="1" t="str">
        <v>לרנר יובל</v>
      </c>
    </row>
    <row r="33" spans="2:2">
      <c r="B33" s="1" t="str">
        <v>מגן נדב</v>
      </c>
    </row>
    <row r="34" spans="2:2">
      <c r="B34" s="1" t="str">
        <v>מור ניר</v>
      </c>
    </row>
    <row r="35" spans="2:2">
      <c r="B35" s="1" t="str">
        <v>פלג נדב</v>
      </c>
    </row>
    <row r="36" spans="2:2">
      <c r="B36" s="1" t="str">
        <v>פרץ תמר</v>
      </c>
    </row>
    <row r="37" spans="2:2">
      <c r="B37" s="1" t="str">
        <v>קרמר דניאל</v>
      </c>
    </row>
    <row r="38" spans="2:2">
      <c r="B38" s="1" t="str">
        <v>רוזן נעם</v>
      </c>
    </row>
    <row r="39" spans="2:2">
      <c r="B39" s="1" t="str">
        <v>רוזנבלום טל</v>
      </c>
    </row>
    <row r="40" spans="2:2">
      <c r="B40" s="1" t="str">
        <v>רפפורט תומר</v>
      </c>
    </row>
    <row r="41" spans="2:2">
      <c r="B41" s="1" t="str">
        <v>שגיא ליאת</v>
      </c>
    </row>
    <row r="42" spans="2:2">
      <c r="B42" s="1" t="str">
        <v>שדה יערה</v>
      </c>
    </row>
    <row r="43" spans="2:2">
      <c r="B43" s="1" t="str">
        <v>שדה ליאור</v>
      </c>
    </row>
    <row r="44" spans="2:2">
      <c r="B44" s="1" t="str">
        <v>שחם רועי</v>
      </c>
    </row>
    <row r="45" spans="2:2">
      <c r="B45" s="1" t="str">
        <v>שמיר אביגיל</v>
      </c>
    </row>
    <row r="46" spans="2:2">
      <c r="B46" s="1" t="str">
        <v>שמר גל</v>
      </c>
    </row>
    <row r="47" spans="2:2">
      <c r="B47" s="1" t="str">
        <v>שמש מיכל</v>
      </c>
    </row>
    <row r="48" spans="2:2">
      <c r="B48" s="1" t="str">
        <v>שפירא יונתן</v>
      </c>
    </row>
    <row r="49" spans="2:2">
      <c r="B49" s="1" t="str">
        <v>שרון גלי</v>
      </c>
    </row>
  </sheetData>
  <sheetProtection algorithmName="SHA-512" hashValue="a3gzwIAMV3WDJIp4jlmR/vfBCEonFP2OKEQF7kRjIV99SDeGkKc4Q6FGxEb2OzYKyWVz/ehF5gbl84ynOR/uPQ==" saltValue="Z9UHTWuHoQ7kjaJHfBN2eA==" spinCount="100000" sheet="1" objects="1" scenarios="1"/>
  <printOptions horizontalCentered="1"/>
  <pageMargins left="3.937007874015748E-2" right="3.937007874015748E-2" top="0.39370078740157483" bottom="0.39370078740157483" header="0.11811023622047245" footer="0.11811023622047245"/>
  <pageSetup paperSize="9" scale="80" fitToHeight="0" orientation="portrait" r:id="rId1"/>
  <headerFooter>
    <oddHeader>&amp;L&amp;D, &amp;T&amp;Rקובץ: &amp;F
גיליון: &amp;A</oddHeader>
    <oddFooter>&amp;Cעמוד &amp;P מתוך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11D25-13FD-4B56-B6B8-2AD45285CB75}">
  <sheetPr codeName="גיליון15">
    <tabColor rgb="FF002060"/>
    <pageSetUpPr fitToPage="1"/>
  </sheetPr>
  <dimension ref="A1:AD51"/>
  <sheetViews>
    <sheetView showGridLines="0" rightToLeft="1" zoomScaleNormal="100" workbookViewId="0"/>
  </sheetViews>
  <sheetFormatPr defaultRowHeight="13.8"/>
  <cols>
    <col min="1" max="1" width="15.69921875" bestFit="1" customWidth="1"/>
    <col min="2" max="2" width="14.59765625" style="120" bestFit="1" customWidth="1"/>
    <col min="3" max="3" width="15.5" style="202" bestFit="1" customWidth="1"/>
    <col min="29" max="29" width="12" bestFit="1" customWidth="1"/>
    <col min="30" max="30" width="7.09765625" bestFit="1" customWidth="1"/>
  </cols>
  <sheetData>
    <row r="1" spans="1:30">
      <c r="B1" s="119"/>
      <c r="AA1" s="188" t="s">
        <v>297</v>
      </c>
      <c r="AB1" s="189" t="b">
        <v>1</v>
      </c>
      <c r="AD1" s="1"/>
    </row>
    <row r="2" spans="1:30">
      <c r="B2" s="119"/>
    </row>
    <row r="3" spans="1:30">
      <c r="B3" s="119"/>
      <c r="J3" t="s">
        <v>146</v>
      </c>
      <c r="K3">
        <f>COUNTIFS(tbEmploDetails[האם פעיל],"פעיל")</f>
        <v>48</v>
      </c>
    </row>
    <row r="4" spans="1:30">
      <c r="C4" s="203" t="s">
        <v>288</v>
      </c>
      <c r="D4" s="270" t="s">
        <v>157</v>
      </c>
      <c r="J4" t="s">
        <v>147</v>
      </c>
      <c r="K4">
        <f>COUNTIFS(tbEmploDetails[האם פעיל],"פעיל",tbEmploDetails[תוצאת הבוחן האחרון],"עבר")</f>
        <v>2</v>
      </c>
    </row>
    <row r="5" spans="1:30" ht="30" customHeight="1">
      <c r="A5" s="67"/>
      <c r="B5" s="121" t="s">
        <v>278</v>
      </c>
      <c r="C5" s="204"/>
      <c r="D5" s="67"/>
      <c r="J5" t="s">
        <v>294</v>
      </c>
      <c r="K5">
        <f ca="1">COUNTIFS(tbEmploDetails[האם פעיל],"פעיל",tbEmploDetails[תוצאת הבוחן האחרון],"&lt;&gt;עבר",tbEmploDetails[מס'' ימים בעבודה],"&gt;=30")</f>
        <v>46</v>
      </c>
    </row>
    <row r="6" spans="1:30" ht="30" customHeight="1">
      <c r="A6" s="68" t="s">
        <v>156</v>
      </c>
      <c r="B6" s="122" t="s">
        <v>273</v>
      </c>
      <c r="C6" s="205" t="s">
        <v>157</v>
      </c>
      <c r="D6" s="69" t="s">
        <v>158</v>
      </c>
      <c r="J6" t="s">
        <v>148</v>
      </c>
      <c r="K6">
        <f ca="1">COUNTIFS(tbEmploDetails[האם פעיל],"פעיל",tbEmploDetails[תוצאת הבוחן האחרון],"&lt;&gt;עבר",tbEmploDetails[מס'' ימים בעבודה],"&lt;30")</f>
        <v>0</v>
      </c>
    </row>
    <row r="7" spans="1:30">
      <c r="A7" t="str" cm="1">
        <f t="array" aca="1" ref="A7:D51" ca="1">_xlfn._xlws.SORT(_xlfn._xlws.FILTER(INDEX(tbEmploDetails[],_xlfn.SEQUENCE(ROWS(tbEmploDetails[])),{3,13,15,18}),(OR(tbEmploDetails[מס'' ימים בעבודה]&gt;=30,tbEmploDetails[מס'' ימים בעבודה]="חסר מידע")) * (tbEmploDetails[תוצאת הבוחן האחרון]&lt;&gt;"עבר") * (tbEmploDetails[האם פעיל]="פעיל") * (tbEmploDetails[תפקיד]&lt;&gt;"נהג"),"----"),_xlfn.SWITCH($D$4,"שם",1,"זמן בעתיקה",2,"מס' פעמים",4,0,2),1,FALSE)</f>
        <v>פרידמן רונית</v>
      </c>
      <c r="B7" s="120">
        <f ca="1"/>
        <v>41754</v>
      </c>
      <c r="C7" s="202" t="str">
        <f ca="1"/>
        <v>10 שנים, 4 חודשים</v>
      </c>
      <c r="D7">
        <f ca="1"/>
        <v>0</v>
      </c>
      <c r="J7" t="s">
        <v>149</v>
      </c>
      <c r="K7">
        <f ca="1">COUNTIFS(tbEmploDetails[האם פעיל],"פעיל",tbEmploDetails[תוצאת הבוחן האחרון],"&lt;&gt;עבר",tbEmploDetails[מס'' ימים בעבודה],"חסר מידע")</f>
        <v>0</v>
      </c>
    </row>
    <row r="8" spans="1:30">
      <c r="A8" t="str">
        <f ca="1"/>
        <v>הורוביץ יואב</v>
      </c>
      <c r="B8" s="120">
        <f ca="1"/>
        <v>41754</v>
      </c>
      <c r="C8" s="202" t="str">
        <f ca="1"/>
        <v>10 שנים, 4 חודשים</v>
      </c>
      <c r="D8">
        <f ca="1"/>
        <v>0</v>
      </c>
    </row>
    <row r="9" spans="1:30">
      <c r="A9" t="str">
        <f ca="1"/>
        <v>זלצר נועה</v>
      </c>
      <c r="B9" s="120">
        <f ca="1"/>
        <v>42307</v>
      </c>
      <c r="C9" s="202" t="str">
        <f ca="1"/>
        <v>8 שנים, 10 חודשים</v>
      </c>
      <c r="D9">
        <f ca="1"/>
        <v>0</v>
      </c>
    </row>
    <row r="10" spans="1:30">
      <c r="A10" t="str">
        <f ca="1"/>
        <v>ברגר סיוון</v>
      </c>
      <c r="B10" s="120">
        <f ca="1"/>
        <v>42388</v>
      </c>
      <c r="C10" s="202" t="str">
        <f ca="1"/>
        <v>8 שנים, 8 חודשים</v>
      </c>
      <c r="D10">
        <f ca="1"/>
        <v>0</v>
      </c>
    </row>
    <row r="11" spans="1:30">
      <c r="A11" t="str">
        <f ca="1"/>
        <v>שמר גל</v>
      </c>
      <c r="B11" s="120">
        <f ca="1"/>
        <v>42388</v>
      </c>
      <c r="C11" s="202" t="str">
        <f ca="1"/>
        <v>8 שנים, 8 חודשים</v>
      </c>
      <c r="D11">
        <f ca="1"/>
        <v>0</v>
      </c>
    </row>
    <row r="12" spans="1:30">
      <c r="A12" t="str">
        <f ca="1"/>
        <v>לרנר אלעד</v>
      </c>
      <c r="B12" s="120">
        <f ca="1"/>
        <v>42388</v>
      </c>
      <c r="C12" s="202" t="str">
        <f ca="1"/>
        <v>8 שנים, 8 חודשים</v>
      </c>
      <c r="D12">
        <f ca="1"/>
        <v>0</v>
      </c>
    </row>
    <row r="13" spans="1:30">
      <c r="A13" t="str">
        <f ca="1"/>
        <v>נחשון דנה</v>
      </c>
      <c r="B13" s="120">
        <f ca="1"/>
        <v>42388</v>
      </c>
      <c r="C13" s="202" t="str">
        <f ca="1"/>
        <v>8 שנים, 8 חודשים</v>
      </c>
      <c r="D13">
        <f ca="1"/>
        <v>0</v>
      </c>
    </row>
    <row r="14" spans="1:30">
      <c r="A14" t="str">
        <f ca="1"/>
        <v>מור ניר</v>
      </c>
      <c r="B14" s="120">
        <f ca="1"/>
        <v>42388</v>
      </c>
      <c r="C14" s="202" t="str">
        <f ca="1"/>
        <v>8 שנים, 8 חודשים</v>
      </c>
      <c r="D14">
        <f ca="1"/>
        <v>0</v>
      </c>
    </row>
    <row r="15" spans="1:30">
      <c r="A15" t="str">
        <f ca="1"/>
        <v>גולדשטיין יאיר</v>
      </c>
      <c r="B15" s="120">
        <f ca="1"/>
        <v>42611</v>
      </c>
      <c r="C15" s="202" t="str">
        <f ca="1"/>
        <v>8 שנים, 4 ימים</v>
      </c>
      <c r="D15">
        <f ca="1"/>
        <v>0</v>
      </c>
    </row>
    <row r="16" spans="1:30">
      <c r="A16" t="str">
        <f ca="1"/>
        <v>קפלן רונית</v>
      </c>
      <c r="B16" s="120">
        <f ca="1"/>
        <v>42611</v>
      </c>
      <c r="C16" s="202" t="str">
        <f ca="1"/>
        <v>8 שנים, 4 ימים</v>
      </c>
      <c r="D16">
        <f ca="1"/>
        <v>0</v>
      </c>
    </row>
    <row r="17" spans="1:4">
      <c r="A17" t="str">
        <f ca="1"/>
        <v>ברוש עידן</v>
      </c>
      <c r="B17" s="120">
        <f ca="1"/>
        <v>42611</v>
      </c>
      <c r="C17" s="202" t="str">
        <f ca="1"/>
        <v>8 שנים, 4 ימים</v>
      </c>
      <c r="D17">
        <f ca="1"/>
        <v>0</v>
      </c>
    </row>
    <row r="18" spans="1:4">
      <c r="A18" t="str">
        <f ca="1"/>
        <v>כהן עדי</v>
      </c>
      <c r="B18" s="120">
        <f ca="1"/>
        <v>42611</v>
      </c>
      <c r="C18" s="202" t="str">
        <f ca="1"/>
        <v>8 שנים, 4 ימים</v>
      </c>
      <c r="D18">
        <f ca="1"/>
        <v>0</v>
      </c>
    </row>
    <row r="19" spans="1:4">
      <c r="A19" t="str">
        <f ca="1"/>
        <v>גל יובל</v>
      </c>
      <c r="B19" s="120">
        <f ca="1"/>
        <v>42611</v>
      </c>
      <c r="C19" s="202" t="str">
        <f ca="1"/>
        <v>8 שנים, 4 ימים</v>
      </c>
      <c r="D19">
        <f ca="1"/>
        <v>0</v>
      </c>
    </row>
    <row r="20" spans="1:4">
      <c r="A20" t="str">
        <f ca="1"/>
        <v>אורן עומר</v>
      </c>
      <c r="B20" s="120">
        <f ca="1"/>
        <v>42611</v>
      </c>
      <c r="C20" s="202" t="str">
        <f ca="1"/>
        <v>8 שנים, 4 ימים</v>
      </c>
      <c r="D20">
        <f ca="1"/>
        <v>0</v>
      </c>
    </row>
    <row r="21" spans="1:4">
      <c r="A21" t="str">
        <f ca="1"/>
        <v>שפירא יונתן</v>
      </c>
      <c r="B21" s="120">
        <f ca="1"/>
        <v>42802</v>
      </c>
      <c r="C21" s="202" t="str">
        <f ca="1"/>
        <v>7 שנים, 6 חודשים</v>
      </c>
      <c r="D21">
        <f ca="1"/>
        <v>0</v>
      </c>
    </row>
    <row r="22" spans="1:4">
      <c r="A22" t="str">
        <f ca="1"/>
        <v>שמש מיכל</v>
      </c>
      <c r="B22" s="120">
        <f ca="1"/>
        <v>42802</v>
      </c>
      <c r="C22" s="202" t="str">
        <f ca="1"/>
        <v>7 שנים, 6 חודשים</v>
      </c>
      <c r="D22">
        <f ca="1"/>
        <v>0</v>
      </c>
    </row>
    <row r="23" spans="1:4">
      <c r="A23" t="str">
        <f ca="1"/>
        <v>אלוני רועי</v>
      </c>
      <c r="B23" s="120">
        <f ca="1"/>
        <v>42802</v>
      </c>
      <c r="C23" s="202" t="str">
        <f ca="1"/>
        <v>7 שנים, 6 חודשים</v>
      </c>
      <c r="D23">
        <f ca="1"/>
        <v>0</v>
      </c>
    </row>
    <row r="24" spans="1:4">
      <c r="A24" t="str">
        <f ca="1"/>
        <v>דרורי יונתן</v>
      </c>
      <c r="B24" s="120">
        <f ca="1"/>
        <v>42802</v>
      </c>
      <c r="C24" s="202" t="str">
        <f ca="1"/>
        <v>7 שנים, 6 חודשים</v>
      </c>
      <c r="D24">
        <f ca="1"/>
        <v>0</v>
      </c>
    </row>
    <row r="25" spans="1:4">
      <c r="A25" t="str">
        <f ca="1"/>
        <v>מגן נדב</v>
      </c>
      <c r="B25" s="120">
        <f ca="1"/>
        <v>42802</v>
      </c>
      <c r="C25" s="201" t="str">
        <f ca="1"/>
        <v>7 שנים, 6 חודשים</v>
      </c>
      <c r="D25">
        <f ca="1"/>
        <v>0</v>
      </c>
    </row>
    <row r="26" spans="1:4">
      <c r="A26" t="str">
        <f ca="1"/>
        <v>קרמר דניאל</v>
      </c>
      <c r="B26" s="120">
        <f ca="1"/>
        <v>42802</v>
      </c>
      <c r="C26" s="201" t="str">
        <f ca="1"/>
        <v>7 שנים, 6 חודשים</v>
      </c>
      <c r="D26">
        <f ca="1"/>
        <v>0</v>
      </c>
    </row>
    <row r="27" spans="1:4">
      <c r="A27" t="str">
        <f ca="1"/>
        <v>פלג נדב</v>
      </c>
      <c r="B27" s="120">
        <f ca="1"/>
        <v>42802</v>
      </c>
      <c r="C27" s="201" t="str">
        <f ca="1"/>
        <v>7 שנים, 6 חודשים</v>
      </c>
      <c r="D27">
        <f ca="1"/>
        <v>0</v>
      </c>
    </row>
    <row r="28" spans="1:4">
      <c r="A28" t="str">
        <f ca="1"/>
        <v>כהן אורי</v>
      </c>
      <c r="B28" s="120">
        <f ca="1"/>
        <v>43232</v>
      </c>
      <c r="C28" s="202" t="str">
        <f ca="1"/>
        <v>6 שנים, 4 חודשים</v>
      </c>
      <c r="D28">
        <f ca="1"/>
        <v>0</v>
      </c>
    </row>
    <row r="29" spans="1:4">
      <c r="A29" t="str">
        <f ca="1"/>
        <v>שרון גלי</v>
      </c>
      <c r="B29" s="120">
        <f ca="1"/>
        <v>43232</v>
      </c>
      <c r="C29" s="202" t="str">
        <f ca="1"/>
        <v>6 שנים, 4 חודשים</v>
      </c>
      <c r="D29">
        <f ca="1"/>
        <v>0</v>
      </c>
    </row>
    <row r="30" spans="1:4">
      <c r="A30" t="str">
        <f ca="1"/>
        <v>שדה יערה</v>
      </c>
      <c r="B30" s="120">
        <f ca="1"/>
        <v>43232</v>
      </c>
      <c r="C30" s="202" t="str">
        <f ca="1"/>
        <v>6 שנים, 4 חודשים</v>
      </c>
      <c r="D30">
        <f ca="1"/>
        <v>0</v>
      </c>
    </row>
    <row r="31" spans="1:4">
      <c r="A31" t="str">
        <f ca="1"/>
        <v>שגיא ליאת</v>
      </c>
      <c r="B31" s="120">
        <f ca="1"/>
        <v>43232</v>
      </c>
      <c r="C31" s="202" t="str">
        <f ca="1"/>
        <v>6 שנים, 4 חודשים</v>
      </c>
      <c r="D31">
        <f ca="1"/>
        <v>0</v>
      </c>
    </row>
    <row r="32" spans="1:4">
      <c r="A32" t="str">
        <f ca="1"/>
        <v>דיין טל</v>
      </c>
      <c r="B32" s="120">
        <f ca="1"/>
        <v>43232</v>
      </c>
      <c r="C32" s="201" t="str">
        <f ca="1"/>
        <v>6 שנים, 4 חודשים</v>
      </c>
      <c r="D32">
        <f ca="1"/>
        <v>0</v>
      </c>
    </row>
    <row r="33" spans="1:8">
      <c r="A33" t="str">
        <f ca="1"/>
        <v>דקל יעל</v>
      </c>
      <c r="B33" s="120">
        <f ca="1"/>
        <v>43232</v>
      </c>
      <c r="C33" s="201" t="str">
        <f ca="1"/>
        <v>6 שנים, 4 חודשים</v>
      </c>
      <c r="D33">
        <f ca="1"/>
        <v>0</v>
      </c>
    </row>
    <row r="34" spans="1:8">
      <c r="A34" t="str">
        <f ca="1"/>
        <v>גרין איתי</v>
      </c>
      <c r="B34" s="120">
        <f ca="1"/>
        <v>43711</v>
      </c>
      <c r="C34" s="201" t="str">
        <f ca="1"/>
        <v>5 שנים, 15 ימים</v>
      </c>
      <c r="D34">
        <f ca="1"/>
        <v>0</v>
      </c>
    </row>
    <row r="35" spans="1:8">
      <c r="A35" t="str">
        <f ca="1"/>
        <v>רוזנבלום טל</v>
      </c>
      <c r="B35" s="120">
        <f ca="1"/>
        <v>43711</v>
      </c>
      <c r="C35" s="202" t="str">
        <f ca="1"/>
        <v>5 שנים, 15 ימים</v>
      </c>
      <c r="D35">
        <f ca="1"/>
        <v>0</v>
      </c>
    </row>
    <row r="36" spans="1:8">
      <c r="A36" t="str">
        <f ca="1"/>
        <v>לרנר יובל</v>
      </c>
      <c r="B36" s="120">
        <f ca="1"/>
        <v>43711</v>
      </c>
      <c r="C36" s="202" t="str">
        <f ca="1"/>
        <v>5 שנים, 15 ימים</v>
      </c>
      <c r="D36">
        <f ca="1"/>
        <v>0</v>
      </c>
      <c r="H36" s="50"/>
    </row>
    <row r="37" spans="1:8">
      <c r="A37" t="str">
        <f ca="1"/>
        <v>ברונר ניב</v>
      </c>
      <c r="B37" s="120">
        <f ca="1"/>
        <v>43711</v>
      </c>
      <c r="C37" s="202" t="str">
        <f ca="1"/>
        <v>5 שנים, 15 ימים</v>
      </c>
      <c r="D37">
        <f ca="1"/>
        <v>0</v>
      </c>
    </row>
    <row r="38" spans="1:8">
      <c r="A38" t="str">
        <f ca="1"/>
        <v>שחם רועי</v>
      </c>
      <c r="B38" s="120">
        <f ca="1"/>
        <v>43711</v>
      </c>
      <c r="C38" s="202" t="str">
        <f ca="1"/>
        <v>5 שנים, 15 ימים</v>
      </c>
      <c r="D38">
        <f ca="1"/>
        <v>0</v>
      </c>
    </row>
    <row r="39" spans="1:8" s="51" customFormat="1">
      <c r="A39" s="51" t="str">
        <f ca="1"/>
        <v>פרץ תמר</v>
      </c>
      <c r="B39" s="123">
        <f ca="1"/>
        <v>43711</v>
      </c>
      <c r="C39" s="206" t="str">
        <f ca="1"/>
        <v>5 שנים, 15 ימים</v>
      </c>
      <c r="D39" s="52">
        <f ca="1"/>
        <v>0</v>
      </c>
      <c r="E39" s="52"/>
    </row>
    <row r="40" spans="1:8">
      <c r="A40" t="str">
        <f ca="1"/>
        <v>רז אלעד</v>
      </c>
      <c r="B40" s="120">
        <f ca="1"/>
        <v>44158</v>
      </c>
      <c r="C40" s="202" t="str">
        <f ca="1"/>
        <v>3 שנים, 10 חודשים</v>
      </c>
      <c r="D40">
        <f ca="1"/>
        <v>0</v>
      </c>
    </row>
    <row r="41" spans="1:8">
      <c r="A41" t="str">
        <f ca="1"/>
        <v>בן דוד מאיה</v>
      </c>
      <c r="B41" s="120">
        <f ca="1"/>
        <v>44392</v>
      </c>
      <c r="C41" s="202" t="str">
        <f ca="1"/>
        <v>3 שנים, 2 חודשים</v>
      </c>
      <c r="D41">
        <f ca="1"/>
        <v>1</v>
      </c>
    </row>
    <row r="42" spans="1:8">
      <c r="A42" t="str">
        <f ca="1"/>
        <v>שדה ליאור</v>
      </c>
      <c r="B42" s="120">
        <f ca="1"/>
        <v>44392</v>
      </c>
      <c r="C42" s="202" t="str">
        <f ca="1"/>
        <v>3 שנים, 2 חודשים</v>
      </c>
      <c r="D42">
        <f ca="1"/>
        <v>0</v>
      </c>
    </row>
    <row r="43" spans="1:8">
      <c r="A43" t="str">
        <f ca="1"/>
        <v>רפפורט תומר</v>
      </c>
      <c r="B43" s="120">
        <f ca="1"/>
        <v>44392</v>
      </c>
      <c r="C43" s="202" t="str">
        <f ca="1"/>
        <v>3 שנים, 2 חודשים</v>
      </c>
      <c r="D43">
        <f ca="1"/>
        <v>0</v>
      </c>
    </row>
    <row r="44" spans="1:8">
      <c r="A44" t="str">
        <f ca="1"/>
        <v>אלון עומר</v>
      </c>
      <c r="B44" s="120">
        <f ca="1"/>
        <v>44392</v>
      </c>
      <c r="C44" s="202" t="str">
        <f ca="1"/>
        <v>3 שנים, 2 חודשים</v>
      </c>
      <c r="D44">
        <f ca="1"/>
        <v>0</v>
      </c>
    </row>
    <row r="45" spans="1:8">
      <c r="A45" t="str">
        <f ca="1"/>
        <v>זילברמן איתי</v>
      </c>
      <c r="B45" s="120">
        <f ca="1"/>
        <v>44392</v>
      </c>
      <c r="C45" s="202" t="str">
        <f ca="1"/>
        <v>3 שנים, 2 חודשים</v>
      </c>
      <c r="D45">
        <f ca="1"/>
        <v>0</v>
      </c>
    </row>
    <row r="46" spans="1:8">
      <c r="A46" t="str">
        <f ca="1"/>
        <v>הראל דניאל</v>
      </c>
      <c r="B46" s="120">
        <f ca="1"/>
        <v>44392</v>
      </c>
      <c r="C46" s="202" t="str">
        <f ca="1"/>
        <v>3 שנים, 2 חודשים</v>
      </c>
      <c r="D46">
        <f ca="1"/>
        <v>0</v>
      </c>
    </row>
    <row r="47" spans="1:8">
      <c r="A47" t="str">
        <f ca="1"/>
        <v>אבידן שירה</v>
      </c>
      <c r="B47" s="120">
        <f ca="1"/>
        <v>44901</v>
      </c>
      <c r="C47" s="202" t="str">
        <f ca="1"/>
        <v>1 שנים, 9 חודשים</v>
      </c>
      <c r="D47">
        <f ca="1"/>
        <v>0</v>
      </c>
    </row>
    <row r="48" spans="1:8">
      <c r="A48" t="str">
        <f ca="1"/>
        <v>הררי יוני</v>
      </c>
      <c r="B48" s="120">
        <f ca="1"/>
        <v>44901</v>
      </c>
      <c r="C48" s="202" t="str">
        <f ca="1"/>
        <v>1 שנים, 9 חודשים</v>
      </c>
      <c r="D48">
        <f ca="1"/>
        <v>0</v>
      </c>
    </row>
    <row r="49" spans="1:4">
      <c r="A49" t="str">
        <f ca="1"/>
        <v>שמיר אביגיל</v>
      </c>
      <c r="B49" s="120">
        <f ca="1"/>
        <v>44901</v>
      </c>
      <c r="C49" s="202" t="str">
        <f ca="1"/>
        <v>1 שנים, 9 חודשים</v>
      </c>
      <c r="D49">
        <f ca="1"/>
        <v>0</v>
      </c>
    </row>
    <row r="50" spans="1:4">
      <c r="A50" t="str">
        <f ca="1"/>
        <v>גבאי אלון</v>
      </c>
      <c r="B50" s="120">
        <f ca="1"/>
        <v>44901</v>
      </c>
      <c r="C50" s="202" t="str">
        <f ca="1"/>
        <v>1 שנים, 9 חודשים</v>
      </c>
      <c r="D50">
        <f ca="1"/>
        <v>0</v>
      </c>
    </row>
    <row r="51" spans="1:4">
      <c r="A51" t="str">
        <f ca="1"/>
        <v>ברק רותם</v>
      </c>
      <c r="B51" s="120">
        <f ca="1"/>
        <v>44901</v>
      </c>
      <c r="C51" s="202" t="str">
        <f ca="1"/>
        <v>1 שנים, 9 חודשים</v>
      </c>
      <c r="D51">
        <f ca="1"/>
        <v>0</v>
      </c>
    </row>
  </sheetData>
  <sheetProtection algorithmName="SHA-512" hashValue="yXgThdTd54hBg8vuWKzgTnkDc84TDCdRH9HLJJ6HtXv8vxrWB7gChgk6IwNhAv0voLN3q4BAWPfoaOzjYT4D+w==" saltValue="Ms3X22VUrE9+riBIETOxcQ==" spinCount="100000" sheet="1" objects="1" scenarios="1"/>
  <phoneticPr fontId="6" type="noConversion"/>
  <conditionalFormatting sqref="D1:D3 D6:D1048576">
    <cfRule type="cellIs" dxfId="12" priority="2" operator="greaterThan">
      <formula>0</formula>
    </cfRule>
  </conditionalFormatting>
  <conditionalFormatting sqref="D4">
    <cfRule type="colorScale" priority="1">
      <colorScale>
        <cfvo type="min"/>
        <cfvo type="percentile" val="50"/>
        <cfvo type="max"/>
        <color rgb="FFFBAFB1"/>
        <color rgb="FFFFF2AF"/>
        <color rgb="FFB3DFBF"/>
      </colorScale>
    </cfRule>
  </conditionalFormatting>
  <dataValidations count="1">
    <dataValidation type="list" allowBlank="1" showInputMessage="1" showErrorMessage="1" sqref="D4" xr:uid="{4B764F8F-9F88-437A-8DD4-842701AF499A}">
      <formula1>"שם, זמן בעתיקה, מס' פעמים"</formula1>
    </dataValidation>
  </dataValidations>
  <printOptions horizontalCentered="1"/>
  <pageMargins left="3.937007874015748E-2" right="3.937007874015748E-2" top="0.39370078740157483" bottom="0.39370078740157483" header="0.11811023622047245" footer="0.11811023622047245"/>
  <pageSetup paperSize="9" scale="66" fitToHeight="0" orientation="portrait" r:id="rId1"/>
  <headerFooter>
    <oddHeader>&amp;L&amp;D, &amp;T&amp;Rקובץ: &amp;F
גיליון: &amp;A</oddHeader>
    <oddFooter>&amp;Cעמוד &amp;P מתוך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030BC-83A3-415A-A522-77C1C384FF40}">
  <sheetPr codeName="גיליון1">
    <tabColor rgb="FF002060"/>
    <pageSetUpPr fitToPage="1"/>
  </sheetPr>
  <dimension ref="B1:V31"/>
  <sheetViews>
    <sheetView showGridLines="0" rightToLeft="1" zoomScaleNormal="100" workbookViewId="0"/>
  </sheetViews>
  <sheetFormatPr defaultRowHeight="13.8"/>
  <cols>
    <col min="2" max="2" width="21.69921875" bestFit="1" customWidth="1"/>
    <col min="5" max="5" width="22.09765625" bestFit="1" customWidth="1"/>
    <col min="7" max="7" width="25" customWidth="1"/>
    <col min="8" max="8" width="12.19921875" style="2" customWidth="1"/>
    <col min="9" max="9" width="3" style="2" bestFit="1" customWidth="1"/>
    <col min="10" max="10" width="7.3984375" bestFit="1" customWidth="1"/>
    <col min="11" max="11" width="13.69921875" customWidth="1"/>
    <col min="12" max="12" width="8" bestFit="1" customWidth="1"/>
    <col min="13" max="13" width="67.3984375" style="1" customWidth="1"/>
    <col min="14" max="15" width="21.69921875" customWidth="1"/>
    <col min="16" max="16" width="9" customWidth="1"/>
    <col min="17" max="17" width="8.59765625" customWidth="1"/>
    <col min="20" max="20" width="15.59765625" bestFit="1" customWidth="1"/>
    <col min="21" max="21" width="10" bestFit="1" customWidth="1"/>
    <col min="22" max="22" width="8.3984375" bestFit="1" customWidth="1"/>
  </cols>
  <sheetData>
    <row r="1" spans="21:22">
      <c r="U1" s="188" t="s">
        <v>297</v>
      </c>
      <c r="V1" s="189" t="b">
        <v>1</v>
      </c>
    </row>
    <row r="15" spans="21:22">
      <c r="U15" s="1"/>
    </row>
    <row r="20" spans="2:13">
      <c r="K20" s="152" t="s">
        <v>288</v>
      </c>
      <c r="L20" s="270" t="s">
        <v>18</v>
      </c>
    </row>
    <row r="21" spans="2:13">
      <c r="B21" s="106" t="s">
        <v>172</v>
      </c>
      <c r="C21" s="106" t="s">
        <v>235</v>
      </c>
      <c r="E21" s="106" t="s">
        <v>200</v>
      </c>
      <c r="F21" s="106" t="s">
        <v>235</v>
      </c>
      <c r="H21" s="336" t="s">
        <v>367</v>
      </c>
      <c r="I21" s="114"/>
      <c r="J21" s="114"/>
      <c r="K21" s="114"/>
      <c r="L21" s="114"/>
      <c r="M21" s="338"/>
    </row>
    <row r="22" spans="2:13" ht="14.4" thickBot="1">
      <c r="B22" t="str" cm="1">
        <f t="array" aca="1" ref="B22:C24" ca="1">_xlfn._xlws.SORT(_xlfn._xlws.FILTER(INDEX(tbEmploDetails[],_xlfn.SEQUENCE(ROWS(tbEmploDetails[])),{3,27}),(tbEmploDetails[מס'' איחורים בחודשיים אחרונים]&gt;0) * (tbEmploDetails[האם פעיל] = "פעיל"),"אין איחורים בחודשיים אחרונים"),2,-1,FALSE)</f>
        <v>אלון עומר</v>
      </c>
      <c r="C22">
        <f ca="1"/>
        <v>2</v>
      </c>
      <c r="E22" t="str" cm="1">
        <f t="array" aca="1" ref="E22:F26" ca="1">_xlfn._xlws.SORT(_xlfn._xlws.FILTER(INDEX(tbEmploDetails[],_xlfn.SEQUENCE(ROWS(tbEmploDetails[])),{3,28}),(tbEmploDetails[מס'' חורים בחודשיים אחרונים]&gt;0) * (tbEmploDetails[האם פעיל] = "פעיל"),"אין חורים בחודשיים אחרונים"),2,-1,FALSE)</f>
        <v>בן דוד מאיה</v>
      </c>
      <c r="F22">
        <f ca="1"/>
        <v>1</v>
      </c>
      <c r="H22" s="337" t="s">
        <v>18</v>
      </c>
      <c r="I22" s="112" t="s">
        <v>364</v>
      </c>
      <c r="J22" s="112" t="s">
        <v>24</v>
      </c>
      <c r="K22" s="112" t="s">
        <v>93</v>
      </c>
      <c r="L22" s="112" t="s">
        <v>365</v>
      </c>
      <c r="M22" s="339" t="s">
        <v>22</v>
      </c>
    </row>
    <row r="23" spans="2:13">
      <c r="B23" t="str">
        <f ca="1"/>
        <v>בן דוד מאיה</v>
      </c>
      <c r="C23">
        <f ca="1"/>
        <v>1</v>
      </c>
      <c r="E23" t="str">
        <f ca="1"/>
        <v>אלוני רועי</v>
      </c>
      <c r="F23">
        <f ca="1"/>
        <v>1</v>
      </c>
      <c r="H23" s="2" cm="1">
        <f t="array" aca="1" ref="H23:M31" ca="1">_xlfn._xlws.SORT(_xlfn._xlws.FILTER(INDEX(tbLate[],_xlfn.SEQUENCE(ROWS(tbLate[])),{1,3,4,5,6,9}),tbLate[תאריך]&gt;=weekAgoCell,"----"),_xlfn.SWITCH($L$20,"תאריך",1,"יום",2,"משמרת",3,"מאבטח",4,"זמן איחור",5,0,1),-1,FALSE)</f>
        <v>45570</v>
      </c>
      <c r="I23" s="2" t="str">
        <f ca="1"/>
        <v>ש'</v>
      </c>
      <c r="J23" t="str">
        <f ca="1"/>
        <v>בוקר07</v>
      </c>
      <c r="K23" t="str">
        <f ca="1"/>
        <v>בלום גיל</v>
      </c>
      <c r="L23" t="str">
        <f ca="1"/>
        <v>חור</v>
      </c>
      <c r="M23" s="1" t="str">
        <f ca="1"/>
        <v>עסוק</v>
      </c>
    </row>
    <row r="24" spans="2:13">
      <c r="B24" t="str">
        <f ca="1"/>
        <v>הראל דניאל</v>
      </c>
      <c r="C24">
        <f ca="1"/>
        <v>1</v>
      </c>
      <c r="E24" t="str">
        <f ca="1"/>
        <v>בלום גיל</v>
      </c>
      <c r="F24">
        <f ca="1"/>
        <v>1</v>
      </c>
      <c r="H24" s="2">
        <f ca="1"/>
        <v>45570</v>
      </c>
      <c r="I24" s="2" t="str">
        <f ca="1"/>
        <v>ש'</v>
      </c>
      <c r="J24" t="str">
        <f ca="1"/>
        <v>בוקר07</v>
      </c>
      <c r="K24" t="str">
        <f ca="1"/>
        <v>הראל דניאל</v>
      </c>
      <c r="L24">
        <f ca="1"/>
        <v>13</v>
      </c>
      <c r="M24" s="1" t="str">
        <f ca="1"/>
        <v>לא נורא</v>
      </c>
    </row>
    <row r="25" spans="2:13">
      <c r="E25" t="str">
        <f ca="1"/>
        <v>זילברמן איתי</v>
      </c>
      <c r="F25">
        <f ca="1"/>
        <v>1</v>
      </c>
      <c r="H25" s="2">
        <f ca="1"/>
        <v>45570</v>
      </c>
      <c r="I25" s="2" t="str">
        <f ca="1"/>
        <v>ש'</v>
      </c>
      <c r="J25" t="str">
        <f ca="1"/>
        <v>בוקר07</v>
      </c>
      <c r="K25" t="str">
        <f ca="1"/>
        <v>נחשון דנה</v>
      </c>
      <c r="L25" t="str">
        <f ca="1"/>
        <v>חור</v>
      </c>
      <c r="M25" s="1" t="str">
        <f ca="1"/>
        <v>-</v>
      </c>
    </row>
    <row r="26" spans="2:13">
      <c r="E26" t="str">
        <f ca="1"/>
        <v>נחשון דנה</v>
      </c>
      <c r="F26">
        <f ca="1"/>
        <v>1</v>
      </c>
      <c r="H26" s="2">
        <f ca="1"/>
        <v>45570</v>
      </c>
      <c r="I26" s="2" t="str">
        <f ca="1"/>
        <v>ש'</v>
      </c>
      <c r="J26" t="str">
        <f ca="1"/>
        <v>בוקר07</v>
      </c>
      <c r="K26" t="str">
        <f ca="1"/>
        <v>אלון עומר</v>
      </c>
      <c r="L26">
        <f ca="1"/>
        <v>25</v>
      </c>
      <c r="M26" s="1" t="str">
        <f ca="1"/>
        <v>-</v>
      </c>
    </row>
    <row r="27" spans="2:13">
      <c r="H27" s="2">
        <f ca="1"/>
        <v>45566</v>
      </c>
      <c r="I27" s="2" t="str">
        <f ca="1"/>
        <v>ג'</v>
      </c>
      <c r="J27" t="str">
        <f ca="1"/>
        <v>צהרים19</v>
      </c>
      <c r="K27" t="str">
        <f ca="1"/>
        <v>אלוני רועי</v>
      </c>
      <c r="L27" t="str">
        <f ca="1"/>
        <v>חור</v>
      </c>
      <c r="M27" s="1" t="str">
        <f ca="1"/>
        <v xml:space="preserve">דוגמה דוגמה </v>
      </c>
    </row>
    <row r="28" spans="2:13">
      <c r="H28" s="2">
        <f ca="1"/>
        <v>45566</v>
      </c>
      <c r="I28" s="2" t="str">
        <f ca="1"/>
        <v>ג'</v>
      </c>
      <c r="J28" t="str">
        <f ca="1"/>
        <v>צהרים19</v>
      </c>
      <c r="K28" t="str">
        <f ca="1"/>
        <v>בן דוד מאיה</v>
      </c>
      <c r="L28">
        <f ca="1"/>
        <v>24</v>
      </c>
      <c r="M28" s="1" t="str">
        <f ca="1"/>
        <v>-</v>
      </c>
    </row>
    <row r="29" spans="2:13">
      <c r="H29" s="2">
        <f ca="1"/>
        <v>45566</v>
      </c>
      <c r="I29" s="2" t="str">
        <f ca="1"/>
        <v>ג'</v>
      </c>
      <c r="J29" t="str">
        <f ca="1"/>
        <v>צהרים19</v>
      </c>
      <c r="K29" t="str">
        <f ca="1"/>
        <v>בן דוד מאיה</v>
      </c>
      <c r="L29" t="str">
        <f ca="1"/>
        <v>חור</v>
      </c>
      <c r="M29" s="1" t="str">
        <f ca="1"/>
        <v xml:space="preserve">דוגמה דוגמה </v>
      </c>
    </row>
    <row r="30" spans="2:13">
      <c r="H30" s="2">
        <f ca="1"/>
        <v>45566</v>
      </c>
      <c r="I30" s="2" t="str">
        <f ca="1"/>
        <v>ג'</v>
      </c>
      <c r="J30" t="str">
        <f ca="1"/>
        <v>צהרים19</v>
      </c>
      <c r="K30" t="str">
        <f ca="1"/>
        <v>אלון עומר</v>
      </c>
      <c r="L30">
        <f ca="1"/>
        <v>47</v>
      </c>
      <c r="M30" s="1" t="str">
        <f ca="1"/>
        <v>-</v>
      </c>
    </row>
    <row r="31" spans="2:13">
      <c r="H31" s="2">
        <f ca="1"/>
        <v>45566</v>
      </c>
      <c r="I31" s="2" t="str">
        <f ca="1"/>
        <v>ג'</v>
      </c>
      <c r="J31" t="str">
        <f ca="1"/>
        <v>צהרים19</v>
      </c>
      <c r="K31" t="str">
        <f ca="1"/>
        <v>זילברמן איתי</v>
      </c>
      <c r="L31" t="str">
        <f ca="1"/>
        <v>חור</v>
      </c>
      <c r="M31" s="1" t="str">
        <f ca="1"/>
        <v xml:space="preserve">דוגמה דוגמה </v>
      </c>
    </row>
  </sheetData>
  <sheetProtection algorithmName="SHA-512" hashValue="7WVNfXtIrhL9oFiCDCIDCKHjApCAnxG7PW1pQA7+FWFJEPi6Qeohtdk+zrjDXmWkjPscpFDtnDDQIiyXDBOQuw==" saltValue="DLkSZ9lZUToioKtnqIlAtg==" spinCount="100000" sheet="1" objects="1" scenarios="1"/>
  <conditionalFormatting sqref="L20">
    <cfRule type="colorScale" priority="2">
      <colorScale>
        <cfvo type="min"/>
        <cfvo type="percentile" val="50"/>
        <cfvo type="max"/>
        <color rgb="FFFBAFB1"/>
        <color rgb="FFFFF2AF"/>
        <color rgb="FFB3DFBF"/>
      </colorScale>
    </cfRule>
  </conditionalFormatting>
  <conditionalFormatting sqref="L1:L1048576">
    <cfRule type="containsText" dxfId="11" priority="1" operator="containsText" text="חור">
      <formula>NOT(ISERROR(SEARCH("חור",L1)))</formula>
    </cfRule>
  </conditionalFormatting>
  <dataValidations count="1">
    <dataValidation type="list" allowBlank="1" showInputMessage="1" showErrorMessage="1" sqref="L20" xr:uid="{D4A18711-EC54-4FB0-B79F-BF95CCE76807}">
      <formula1>"תאריך, יום, משמרת, מאבטח, זמן איחור"</formula1>
    </dataValidation>
  </dataValidations>
  <printOptions horizontalCentered="1"/>
  <pageMargins left="3.937007874015748E-2" right="3.937007874015748E-2" top="0.39370078740157483" bottom="0.39370078740157483" header="0.11811023622047245" footer="0.11811023622047245"/>
  <pageSetup paperSize="9" fitToHeight="0" orientation="portrait" r:id="rId1"/>
  <headerFooter>
    <oddHeader>&amp;L&amp;D, &amp;T&amp;Rקובץ: &amp;F
גיליון: &amp;A</oddHeader>
    <oddFooter>&amp;Cעמוד &amp;P מתוך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D50A-BB20-40B6-BB5F-A4997FD207BF}">
  <sheetPr codeName="גיליון16">
    <tabColor rgb="FF002060"/>
    <pageSetUpPr fitToPage="1"/>
  </sheetPr>
  <dimension ref="B1:AX61"/>
  <sheetViews>
    <sheetView showGridLines="0" rightToLeft="1" zoomScaleNormal="100" workbookViewId="0">
      <selection activeCell="B17" sqref="B17"/>
    </sheetView>
  </sheetViews>
  <sheetFormatPr defaultRowHeight="13.8"/>
  <cols>
    <col min="2" max="2" width="21.69921875" bestFit="1" customWidth="1"/>
    <col min="3" max="3" width="7.09765625" customWidth="1"/>
    <col min="4" max="4" width="9" style="129"/>
    <col min="5" max="5" width="9" customWidth="1"/>
    <col min="6" max="6" width="19.09765625" customWidth="1"/>
    <col min="7" max="7" width="9" style="120"/>
    <col min="8" max="8" width="15.59765625" bestFit="1" customWidth="1"/>
    <col min="10" max="10" width="9.8984375" style="2" bestFit="1" customWidth="1"/>
    <col min="11" max="11" width="9.8984375" bestFit="1" customWidth="1"/>
    <col min="12" max="12" width="12.09765625" bestFit="1" customWidth="1"/>
    <col min="13" max="13" width="14.19921875" customWidth="1"/>
    <col min="40" max="40" width="15.59765625" bestFit="1" customWidth="1"/>
    <col min="41" max="41" width="7.8984375" bestFit="1" customWidth="1"/>
    <col min="42" max="42" width="6.3984375" bestFit="1" customWidth="1"/>
    <col min="43" max="43" width="6.19921875" bestFit="1" customWidth="1"/>
    <col min="44" max="45" width="8.09765625" bestFit="1" customWidth="1"/>
    <col min="49" max="49" width="15.59765625" bestFit="1" customWidth="1"/>
    <col min="50" max="50" width="13.09765625" bestFit="1" customWidth="1"/>
  </cols>
  <sheetData>
    <row r="1" spans="27:50">
      <c r="AA1" s="188" t="s">
        <v>297</v>
      </c>
      <c r="AB1" s="189" t="b">
        <v>1</v>
      </c>
      <c r="AO1" s="1"/>
      <c r="AX1" s="1"/>
    </row>
    <row r="18" spans="2:14">
      <c r="C18" s="152" t="s">
        <v>288</v>
      </c>
      <c r="D18" s="270" t="s">
        <v>31</v>
      </c>
      <c r="M18" s="152" t="s">
        <v>288</v>
      </c>
      <c r="N18" s="270" t="s">
        <v>18</v>
      </c>
    </row>
    <row r="19" spans="2:14">
      <c r="B19" s="115" t="s">
        <v>236</v>
      </c>
      <c r="C19" s="114"/>
      <c r="D19" s="131"/>
      <c r="F19" s="115" t="s">
        <v>237</v>
      </c>
      <c r="G19" s="115"/>
      <c r="H19" s="114"/>
      <c r="J19" s="115" t="s">
        <v>290</v>
      </c>
      <c r="K19" s="114"/>
      <c r="L19" s="114"/>
      <c r="M19" s="114"/>
      <c r="N19" s="114"/>
    </row>
    <row r="20" spans="2:14" ht="48" customHeight="1" thickBot="1">
      <c r="B20" s="113" t="s">
        <v>156</v>
      </c>
      <c r="C20" s="112" t="s">
        <v>235</v>
      </c>
      <c r="D20" s="132" t="s">
        <v>238</v>
      </c>
      <c r="F20" s="113" t="s">
        <v>156</v>
      </c>
      <c r="G20" s="113" t="s">
        <v>273</v>
      </c>
      <c r="H20" s="112" t="s">
        <v>157</v>
      </c>
      <c r="J20" s="113" t="s">
        <v>18</v>
      </c>
      <c r="K20" s="112" t="s">
        <v>92</v>
      </c>
      <c r="L20" s="112" t="s">
        <v>93</v>
      </c>
      <c r="M20" s="112" t="s">
        <v>27</v>
      </c>
      <c r="N20" s="112" t="s">
        <v>31</v>
      </c>
    </row>
    <row r="21" spans="2:14">
      <c r="B21" t="str" cm="1">
        <f t="array" aca="1" ref="B21:D25" ca="1">_xlfn._xlws.SORT(_xlfn._xlws.FILTER(INDEX(tbEmploDetails[],_xlfn.SEQUENCE(ROWS(tbEmploDetails[])),{3,31,32}),(tbEmploDetails[מס'' ביקורות בשנה אחרונה]&gt;0) * (tbEmploDetails[האם פעיל] = "פעיל"),"אין ביקורות בשנה אחרונה"),IF(D18="כמות",2,3),1,FALSE)</f>
        <v>הררי יוני</v>
      </c>
      <c r="C21">
        <f ca="1"/>
        <v>1</v>
      </c>
      <c r="D21" s="129">
        <f ca="1"/>
        <v>5</v>
      </c>
      <c r="F21" t="str" cm="1">
        <f t="array" aca="1" ref="F21:H61" ca="1">_xlfn._xlws.SORT(_xlfn._xlws.FILTER(INDEX(tbEmploDetails[],_xlfn.SEQUENCE(ROWS(tbEmploDetails[])),{3,13,15}),(tbEmploDetails[מס'' ביקורות בשנה אחרונה]=0) * (tbEmploDetails[האם פעיל] = "פעיל") * (tbEmploDetails[תפקיד] &lt;&gt; "אחר") * (tbEmploDetails[תפקיד] &lt;&gt; "אחמש") * (tbEmploDetails[תפקיד] &lt;&gt; "נהג"),"אין מי שלא עבר ביקורת בשנה אחרונה"),2,-1,FALSE)</f>
        <v>אבידן שירה</v>
      </c>
      <c r="G21" s="120">
        <f ca="1"/>
        <v>44901</v>
      </c>
      <c r="H21" t="str">
        <f ca="1"/>
        <v>1 שנים, 9 חודשים</v>
      </c>
      <c r="J21" s="2" cm="1">
        <f t="array" aca="1" ref="J21:N25" ca="1">_xlfn._xlws.SORT(_xlfn._xlws.FILTER(INDEX(tbPerfReview[],_xlfn.SEQUENCE(ROWS(tbPerfReview[])),{1,3,4,5,10}),tbPerfReview[תאריך]&gt;=monthAgoCell,"----"),_xlfn.SWITCH($N$18,"תאריך",1,"אחמש",2,"מאבטח",3,"נושא",4,"ציון",5,0,1),-1,FALSE)</f>
        <v>45570</v>
      </c>
      <c r="K21" t="str">
        <f ca="1"/>
        <v>דוגמה</v>
      </c>
      <c r="L21" t="str">
        <f ca="1"/>
        <v>בן ארי יעל</v>
      </c>
      <c r="M21" t="str">
        <f ca="1"/>
        <v>מצלמות</v>
      </c>
      <c r="N21" t="str">
        <f ca="1"/>
        <v>חיובית</v>
      </c>
    </row>
    <row r="22" spans="2:14">
      <c r="B22" t="str">
        <f ca="1"/>
        <v>כהן עדי</v>
      </c>
      <c r="C22">
        <f ca="1"/>
        <v>1</v>
      </c>
      <c r="D22" s="129">
        <f ca="1"/>
        <v>5</v>
      </c>
      <c r="F22" t="str">
        <f ca="1"/>
        <v>שמיר אביגיל</v>
      </c>
      <c r="G22" s="120">
        <f ca="1"/>
        <v>44901</v>
      </c>
      <c r="H22" t="str">
        <f ca="1"/>
        <v>1 שנים, 9 חודשים</v>
      </c>
      <c r="J22" s="2">
        <f ca="1"/>
        <v>45570</v>
      </c>
      <c r="K22" t="str">
        <f ca="1"/>
        <v>דוגמה</v>
      </c>
      <c r="L22" t="str">
        <f ca="1"/>
        <v>כהן עדי</v>
      </c>
      <c r="M22" t="str">
        <f ca="1"/>
        <v>מצלמות</v>
      </c>
      <c r="N22" t="str">
        <f ca="1"/>
        <v>בינונית</v>
      </c>
    </row>
    <row r="23" spans="2:14">
      <c r="B23" t="str">
        <f ca="1"/>
        <v>בלום גיל</v>
      </c>
      <c r="C23">
        <f ca="1"/>
        <v>1</v>
      </c>
      <c r="D23" s="129">
        <f ca="1"/>
        <v>10</v>
      </c>
      <c r="F23" t="str">
        <f ca="1"/>
        <v>גבאי אלון</v>
      </c>
      <c r="G23" s="120">
        <f ca="1"/>
        <v>44901</v>
      </c>
      <c r="H23" t="str">
        <f ca="1"/>
        <v>1 שנים, 9 חודשים</v>
      </c>
      <c r="J23" s="2">
        <f ca="1"/>
        <v>45570</v>
      </c>
      <c r="K23" t="str">
        <f ca="1"/>
        <v>דוגמה</v>
      </c>
      <c r="L23" t="str">
        <f ca="1"/>
        <v>הררי יוני</v>
      </c>
      <c r="M23" t="str">
        <f ca="1"/>
        <v>מצלמות</v>
      </c>
      <c r="N23" t="str">
        <f ca="1"/>
        <v>בינונית</v>
      </c>
    </row>
    <row r="24" spans="2:14">
      <c r="B24" t="str">
        <f ca="1"/>
        <v>בן ארי יעל</v>
      </c>
      <c r="C24">
        <f ca="1"/>
        <v>1</v>
      </c>
      <c r="D24" s="129">
        <f ca="1"/>
        <v>10</v>
      </c>
      <c r="F24" t="str">
        <f ca="1"/>
        <v>ברק רותם</v>
      </c>
      <c r="G24" s="120">
        <f ca="1"/>
        <v>44901</v>
      </c>
      <c r="H24" t="str">
        <f ca="1"/>
        <v>1 שנים, 9 חודשים</v>
      </c>
      <c r="J24" s="2">
        <f ca="1"/>
        <v>45570</v>
      </c>
      <c r="K24" t="str">
        <f ca="1"/>
        <v>דוגמה</v>
      </c>
      <c r="L24" t="str">
        <f ca="1"/>
        <v>ברגר סיוון</v>
      </c>
      <c r="M24" t="str">
        <f ca="1"/>
        <v>מצלמות</v>
      </c>
      <c r="N24" t="str">
        <f ca="1"/>
        <v>בקרה</v>
      </c>
    </row>
    <row r="25" spans="2:14">
      <c r="B25" t="str">
        <f ca="1"/>
        <v>ברגר סיוון</v>
      </c>
      <c r="C25">
        <f ca="1"/>
        <v>1</v>
      </c>
      <c r="D25" s="129" t="str">
        <f ca="1"/>
        <v/>
      </c>
      <c r="F25" t="str">
        <f ca="1"/>
        <v>בן דוד מאיה</v>
      </c>
      <c r="G25" s="120">
        <f ca="1"/>
        <v>44392</v>
      </c>
      <c r="H25" t="str">
        <f ca="1"/>
        <v>3 שנים, 2 חודשים</v>
      </c>
      <c r="J25" s="2">
        <f ca="1"/>
        <v>45570</v>
      </c>
      <c r="K25" t="str">
        <f ca="1"/>
        <v>דוגמה</v>
      </c>
      <c r="L25" t="str">
        <f ca="1"/>
        <v>בלום גיל</v>
      </c>
      <c r="M25" t="str">
        <f ca="1"/>
        <v>מצלמות</v>
      </c>
      <c r="N25" t="str">
        <f ca="1"/>
        <v>חיובית</v>
      </c>
    </row>
    <row r="26" spans="2:14">
      <c r="F26" t="str">
        <f ca="1"/>
        <v>שדה ליאור</v>
      </c>
      <c r="G26" s="120">
        <f ca="1"/>
        <v>44392</v>
      </c>
      <c r="H26" t="str">
        <f ca="1"/>
        <v>3 שנים, 2 חודשים</v>
      </c>
    </row>
    <row r="27" spans="2:14">
      <c r="F27" t="str">
        <f ca="1"/>
        <v>רפפורט תומר</v>
      </c>
      <c r="G27" s="120">
        <f ca="1"/>
        <v>44392</v>
      </c>
      <c r="H27" t="str">
        <f ca="1"/>
        <v>3 שנים, 2 חודשים</v>
      </c>
    </row>
    <row r="28" spans="2:14">
      <c r="F28" t="str">
        <f ca="1"/>
        <v>אלון עומר</v>
      </c>
      <c r="G28" s="120">
        <f ca="1"/>
        <v>44392</v>
      </c>
      <c r="H28" t="str">
        <f ca="1"/>
        <v>3 שנים, 2 חודשים</v>
      </c>
    </row>
    <row r="29" spans="2:14">
      <c r="F29" t="str">
        <f ca="1"/>
        <v>זילברמן איתי</v>
      </c>
      <c r="G29" s="120">
        <f ca="1"/>
        <v>44392</v>
      </c>
      <c r="H29" t="str">
        <f ca="1"/>
        <v>3 שנים, 2 חודשים</v>
      </c>
    </row>
    <row r="30" spans="2:14">
      <c r="F30" t="str">
        <f ca="1"/>
        <v>הראל דניאל</v>
      </c>
      <c r="G30" s="120">
        <f ca="1"/>
        <v>44392</v>
      </c>
      <c r="H30" t="str">
        <f ca="1"/>
        <v>3 שנים, 2 חודשים</v>
      </c>
    </row>
    <row r="31" spans="2:14">
      <c r="F31" t="str">
        <f ca="1"/>
        <v>רז אלעד</v>
      </c>
      <c r="G31" s="120">
        <f ca="1"/>
        <v>44158</v>
      </c>
      <c r="H31" t="str">
        <f ca="1"/>
        <v>3 שנים, 10 חודשים</v>
      </c>
    </row>
    <row r="32" spans="2:14">
      <c r="F32" t="str">
        <f ca="1"/>
        <v>גרין איתי</v>
      </c>
      <c r="G32" s="120">
        <f ca="1"/>
        <v>43711</v>
      </c>
      <c r="H32" t="str">
        <f ca="1"/>
        <v>5 שנים, 15 ימים</v>
      </c>
    </row>
    <row r="33" spans="6:8">
      <c r="F33" t="str">
        <f ca="1"/>
        <v>רוזנבלום טל</v>
      </c>
      <c r="G33" s="120">
        <f ca="1"/>
        <v>43711</v>
      </c>
      <c r="H33" t="str">
        <f ca="1"/>
        <v>5 שנים, 15 ימים</v>
      </c>
    </row>
    <row r="34" spans="6:8">
      <c r="F34" t="str">
        <f ca="1"/>
        <v>לרנר יובל</v>
      </c>
      <c r="G34" s="120">
        <f ca="1"/>
        <v>43711</v>
      </c>
      <c r="H34" t="str">
        <f ca="1"/>
        <v>5 שנים, 15 ימים</v>
      </c>
    </row>
    <row r="35" spans="6:8">
      <c r="F35" t="str">
        <f ca="1"/>
        <v>ברונר ניב</v>
      </c>
      <c r="G35" s="120">
        <f ca="1"/>
        <v>43711</v>
      </c>
      <c r="H35" t="str">
        <f ca="1"/>
        <v>5 שנים, 15 ימים</v>
      </c>
    </row>
    <row r="36" spans="6:8">
      <c r="F36" t="str">
        <f ca="1"/>
        <v>שחם רועי</v>
      </c>
      <c r="G36" s="120">
        <f ca="1"/>
        <v>43711</v>
      </c>
      <c r="H36" t="str">
        <f ca="1"/>
        <v>5 שנים, 15 ימים</v>
      </c>
    </row>
    <row r="37" spans="6:8">
      <c r="F37" t="str">
        <f ca="1"/>
        <v>פרץ תמר</v>
      </c>
      <c r="G37" s="120">
        <f ca="1"/>
        <v>43711</v>
      </c>
      <c r="H37" t="str">
        <f ca="1"/>
        <v>5 שנים, 15 ימים</v>
      </c>
    </row>
    <row r="38" spans="6:8">
      <c r="F38" t="str">
        <f ca="1"/>
        <v>כהן אורי</v>
      </c>
      <c r="G38" s="120">
        <f ca="1"/>
        <v>43232</v>
      </c>
      <c r="H38" t="str">
        <f ca="1"/>
        <v>6 שנים, 4 חודשים</v>
      </c>
    </row>
    <row r="39" spans="6:8">
      <c r="F39" t="str">
        <f ca="1"/>
        <v>שרון גלי</v>
      </c>
      <c r="G39" s="120">
        <f ca="1"/>
        <v>43232</v>
      </c>
      <c r="H39" t="str">
        <f ca="1"/>
        <v>6 שנים, 4 חודשים</v>
      </c>
    </row>
    <row r="40" spans="6:8">
      <c r="F40" t="str">
        <f ca="1"/>
        <v>שדה יערה</v>
      </c>
      <c r="G40" s="120">
        <f ca="1"/>
        <v>43232</v>
      </c>
      <c r="H40" t="str">
        <f ca="1"/>
        <v>6 שנים, 4 חודשים</v>
      </c>
    </row>
    <row r="41" spans="6:8">
      <c r="F41" t="str">
        <f ca="1"/>
        <v>שגיא ליאת</v>
      </c>
      <c r="G41" s="120">
        <f ca="1"/>
        <v>43232</v>
      </c>
      <c r="H41" t="str">
        <f ca="1"/>
        <v>6 שנים, 4 חודשים</v>
      </c>
    </row>
    <row r="42" spans="6:8">
      <c r="F42" t="str">
        <f ca="1"/>
        <v>דיין טל</v>
      </c>
      <c r="G42" s="120">
        <f ca="1"/>
        <v>43232</v>
      </c>
      <c r="H42" t="str">
        <f ca="1"/>
        <v>6 שנים, 4 חודשים</v>
      </c>
    </row>
    <row r="43" spans="6:8">
      <c r="F43" t="str">
        <f ca="1"/>
        <v>דקל יעל</v>
      </c>
      <c r="G43" s="120">
        <f ca="1"/>
        <v>43232</v>
      </c>
      <c r="H43" t="str">
        <f ca="1"/>
        <v>6 שנים, 4 חודשים</v>
      </c>
    </row>
    <row r="44" spans="6:8">
      <c r="F44" t="str">
        <f ca="1"/>
        <v>שפירא יונתן</v>
      </c>
      <c r="G44" s="120">
        <f ca="1"/>
        <v>42802</v>
      </c>
      <c r="H44" t="str">
        <f ca="1"/>
        <v>7 שנים, 6 חודשים</v>
      </c>
    </row>
    <row r="45" spans="6:8">
      <c r="F45" t="str">
        <f ca="1"/>
        <v>שמש מיכל</v>
      </c>
      <c r="G45" s="120">
        <f ca="1"/>
        <v>42802</v>
      </c>
      <c r="H45" t="str">
        <f ca="1"/>
        <v>7 שנים, 6 חודשים</v>
      </c>
    </row>
    <row r="46" spans="6:8">
      <c r="F46" t="str">
        <f ca="1"/>
        <v>אלוני רועי</v>
      </c>
      <c r="G46" s="120">
        <f ca="1"/>
        <v>42802</v>
      </c>
      <c r="H46" t="str">
        <f ca="1"/>
        <v>7 שנים, 6 חודשים</v>
      </c>
    </row>
    <row r="47" spans="6:8">
      <c r="F47" t="str">
        <f ca="1"/>
        <v>דרורי יונתן</v>
      </c>
      <c r="G47" s="120">
        <f ca="1"/>
        <v>42802</v>
      </c>
      <c r="H47" t="str">
        <f ca="1"/>
        <v>7 שנים, 6 חודשים</v>
      </c>
    </row>
    <row r="48" spans="6:8">
      <c r="F48" t="str">
        <f ca="1"/>
        <v>מגן נדב</v>
      </c>
      <c r="G48" s="120">
        <f ca="1"/>
        <v>42802</v>
      </c>
      <c r="H48" t="str">
        <f ca="1"/>
        <v>7 שנים, 6 חודשים</v>
      </c>
    </row>
    <row r="49" spans="6:8">
      <c r="F49" t="str">
        <f ca="1"/>
        <v>קרמר דניאל</v>
      </c>
      <c r="G49" s="120">
        <f ca="1"/>
        <v>42802</v>
      </c>
      <c r="H49" t="str">
        <f ca="1"/>
        <v>7 שנים, 6 חודשים</v>
      </c>
    </row>
    <row r="50" spans="6:8">
      <c r="F50" t="str">
        <f ca="1"/>
        <v>פלג נדב</v>
      </c>
      <c r="G50" s="120">
        <f ca="1"/>
        <v>42802</v>
      </c>
      <c r="H50" t="str">
        <f ca="1"/>
        <v>7 שנים, 6 חודשים</v>
      </c>
    </row>
    <row r="51" spans="6:8">
      <c r="F51" t="str">
        <f ca="1"/>
        <v>קפלן רונית</v>
      </c>
      <c r="G51" s="120">
        <f ca="1"/>
        <v>42611</v>
      </c>
      <c r="H51" t="str">
        <f ca="1"/>
        <v>8 שנים, 4 ימים</v>
      </c>
    </row>
    <row r="52" spans="6:8">
      <c r="F52" t="str">
        <f ca="1"/>
        <v>ברוש עידן</v>
      </c>
      <c r="G52" s="120">
        <f ca="1"/>
        <v>42611</v>
      </c>
      <c r="H52" t="str">
        <f ca="1"/>
        <v>8 שנים, 4 ימים</v>
      </c>
    </row>
    <row r="53" spans="6:8">
      <c r="F53" t="str">
        <f ca="1"/>
        <v>גל יובל</v>
      </c>
      <c r="G53" s="120">
        <f ca="1"/>
        <v>42611</v>
      </c>
      <c r="H53" t="str">
        <f ca="1"/>
        <v>8 שנים, 4 ימים</v>
      </c>
    </row>
    <row r="54" spans="6:8">
      <c r="F54" t="str">
        <f ca="1"/>
        <v>אורן עומר</v>
      </c>
      <c r="G54" s="120">
        <f ca="1"/>
        <v>42611</v>
      </c>
      <c r="H54" t="str">
        <f ca="1"/>
        <v>8 שנים, 4 ימים</v>
      </c>
    </row>
    <row r="55" spans="6:8">
      <c r="F55" t="str">
        <f ca="1"/>
        <v>שמר גל</v>
      </c>
      <c r="G55" s="120">
        <f ca="1"/>
        <v>42388</v>
      </c>
      <c r="H55" t="str">
        <f ca="1"/>
        <v>8 שנים, 8 חודשים</v>
      </c>
    </row>
    <row r="56" spans="6:8">
      <c r="F56" t="str">
        <f ca="1"/>
        <v>לרנר אלעד</v>
      </c>
      <c r="G56" s="120">
        <f ca="1"/>
        <v>42388</v>
      </c>
      <c r="H56" t="str">
        <f ca="1"/>
        <v>8 שנים, 8 חודשים</v>
      </c>
    </row>
    <row r="57" spans="6:8">
      <c r="F57" t="str">
        <f ca="1"/>
        <v>נחשון דנה</v>
      </c>
      <c r="G57" s="120">
        <f ca="1"/>
        <v>42388</v>
      </c>
      <c r="H57" t="str">
        <f ca="1"/>
        <v>8 שנים, 8 חודשים</v>
      </c>
    </row>
    <row r="58" spans="6:8">
      <c r="F58" t="str">
        <f ca="1"/>
        <v>מור ניר</v>
      </c>
      <c r="G58" s="120">
        <f ca="1"/>
        <v>42388</v>
      </c>
      <c r="H58" t="str">
        <f ca="1"/>
        <v>8 שנים, 8 חודשים</v>
      </c>
    </row>
    <row r="59" spans="6:8">
      <c r="F59" t="str">
        <f ca="1"/>
        <v>זלצר נועה</v>
      </c>
      <c r="G59" s="120">
        <f ca="1"/>
        <v>42307</v>
      </c>
      <c r="H59" t="str">
        <f ca="1"/>
        <v>8 שנים, 10 חודשים</v>
      </c>
    </row>
    <row r="60" spans="6:8">
      <c r="F60" t="str">
        <f ca="1"/>
        <v>פרידמן רונית</v>
      </c>
      <c r="G60" s="120">
        <f ca="1"/>
        <v>41754</v>
      </c>
      <c r="H60" t="str">
        <f ca="1"/>
        <v>10 שנים, 4 חודשים</v>
      </c>
    </row>
    <row r="61" spans="6:8">
      <c r="F61" t="str">
        <f ca="1"/>
        <v>הורוביץ יואב</v>
      </c>
      <c r="G61" s="120">
        <f ca="1"/>
        <v>41754</v>
      </c>
      <c r="H61" t="str">
        <f ca="1"/>
        <v>10 שנים, 4 חודשים</v>
      </c>
    </row>
  </sheetData>
  <sheetProtection algorithmName="SHA-512" hashValue="UQFmXp4piLYW6lv62sMdLokTT2Ovu6Ky5b624GQr3RGuYwmJLlobNZR5xoprPCdDl0bFacA235+EB7EetCassQ==" saltValue="8/UIa8ox6hSneYEeGNsnSg==" spinCount="100000" sheet="1" objects="1" scenarios="1"/>
  <conditionalFormatting sqref="D1:D1048576">
    <cfRule type="colorScale" priority="2">
      <colorScale>
        <cfvo type="min"/>
        <cfvo type="percentile" val="50"/>
        <cfvo type="max"/>
        <color rgb="FFFBAFB1"/>
        <color rgb="FFFFF2AF"/>
        <color rgb="FFB3DFBF"/>
      </colorScale>
    </cfRule>
  </conditionalFormatting>
  <conditionalFormatting sqref="N18">
    <cfRule type="colorScale" priority="1">
      <colorScale>
        <cfvo type="min"/>
        <cfvo type="percentile" val="50"/>
        <cfvo type="max"/>
        <color rgb="FFFBAFB1"/>
        <color rgb="FFFFF2AF"/>
        <color rgb="FFB3DFBF"/>
      </colorScale>
    </cfRule>
  </conditionalFormatting>
  <dataValidations count="2">
    <dataValidation type="list" allowBlank="1" showInputMessage="1" showErrorMessage="1" sqref="D18" xr:uid="{4DA68937-C7E4-4D3D-A065-A3278FCA731F}">
      <formula1>"כמות, ציון"</formula1>
    </dataValidation>
    <dataValidation type="list" allowBlank="1" showInputMessage="1" showErrorMessage="1" sqref="N18" xr:uid="{88C9C113-08D5-4259-B048-21F87966D596}">
      <formula1>"תאריך, אחמש, מאבטח, נושא, ציון"</formula1>
    </dataValidation>
  </dataValidations>
  <printOptions horizontalCentered="1"/>
  <pageMargins left="3.937007874015748E-2" right="3.937007874015748E-2" top="0.39370078740157483" bottom="0.39370078740157483" header="0.11811023622047245" footer="0.11811023622047245"/>
  <pageSetup paperSize="9" fitToHeight="0" orientation="portrait" r:id="rId1"/>
  <headerFooter>
    <oddHeader>&amp;L&amp;D, &amp;T&amp;Rקובץ: &amp;F
גיליון: &amp;A</oddHeader>
    <oddFooter>&amp;Cעמוד &amp;P מתוך 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F2AA4-49F6-4299-B542-B7F9B8E56715}">
  <sheetPr codeName="גיליון19">
    <tabColor rgb="FF002060"/>
    <pageSetUpPr fitToPage="1"/>
  </sheetPr>
  <dimension ref="B1:AR62"/>
  <sheetViews>
    <sheetView showGridLines="0" rightToLeft="1" zoomScaleNormal="100" workbookViewId="0"/>
  </sheetViews>
  <sheetFormatPr defaultRowHeight="13.8"/>
  <cols>
    <col min="2" max="2" width="21.69921875" bestFit="1" customWidth="1"/>
    <col min="3" max="3" width="7.09765625" customWidth="1"/>
    <col min="4" max="4" width="9" style="129"/>
    <col min="5" max="5" width="9" customWidth="1"/>
    <col min="6" max="6" width="23.5" customWidth="1"/>
    <col min="7" max="7" width="9" style="120"/>
    <col min="8" max="8" width="15.19921875" bestFit="1" customWidth="1"/>
    <col min="10" max="10" width="9.8984375" style="2" bestFit="1" customWidth="1"/>
    <col min="11" max="11" width="9.8984375" bestFit="1" customWidth="1"/>
    <col min="12" max="12" width="13.09765625" customWidth="1"/>
    <col min="13" max="13" width="49.3984375" customWidth="1"/>
    <col min="34" max="34" width="15.59765625" bestFit="1" customWidth="1"/>
    <col min="35" max="35" width="7.8984375" bestFit="1" customWidth="1"/>
    <col min="36" max="36" width="6.09765625" bestFit="1" customWidth="1"/>
    <col min="37" max="37" width="5" bestFit="1" customWidth="1"/>
    <col min="38" max="38" width="5.3984375" bestFit="1" customWidth="1"/>
    <col min="39" max="39" width="8.09765625" bestFit="1" customWidth="1"/>
    <col min="43" max="43" width="15.59765625" bestFit="1" customWidth="1"/>
    <col min="44" max="44" width="14.8984375" bestFit="1" customWidth="1"/>
  </cols>
  <sheetData>
    <row r="1" spans="27:44">
      <c r="AA1" s="188" t="s">
        <v>297</v>
      </c>
      <c r="AB1" s="189" t="b">
        <v>1</v>
      </c>
      <c r="AI1" s="1"/>
      <c r="AR1" s="1"/>
    </row>
    <row r="18" spans="2:14">
      <c r="C18" s="152" t="s">
        <v>288</v>
      </c>
      <c r="D18" s="270" t="s">
        <v>31</v>
      </c>
      <c r="M18" s="152" t="s">
        <v>288</v>
      </c>
      <c r="N18" s="270" t="s">
        <v>31</v>
      </c>
    </row>
    <row r="19" spans="2:14">
      <c r="B19" s="115" t="s">
        <v>342</v>
      </c>
      <c r="C19" s="114"/>
      <c r="D19" s="131"/>
      <c r="F19" s="115" t="s">
        <v>240</v>
      </c>
      <c r="G19" s="127"/>
      <c r="H19" s="114"/>
      <c r="J19" s="115" t="s">
        <v>289</v>
      </c>
      <c r="K19" s="114"/>
      <c r="L19" s="114"/>
      <c r="M19" s="114"/>
      <c r="N19" s="114"/>
    </row>
    <row r="20" spans="2:14" ht="48" customHeight="1" thickBot="1">
      <c r="B20" s="113" t="s">
        <v>156</v>
      </c>
      <c r="C20" s="112" t="s">
        <v>235</v>
      </c>
      <c r="D20" s="132" t="s">
        <v>238</v>
      </c>
      <c r="F20" s="113" t="s">
        <v>156</v>
      </c>
      <c r="G20" s="128" t="s">
        <v>273</v>
      </c>
      <c r="H20" s="112" t="s">
        <v>157</v>
      </c>
      <c r="J20" s="113" t="s">
        <v>18</v>
      </c>
      <c r="K20" s="112" t="s">
        <v>92</v>
      </c>
      <c r="L20" s="112" t="s">
        <v>93</v>
      </c>
      <c r="M20" s="112" t="s">
        <v>27</v>
      </c>
      <c r="N20" s="112" t="s">
        <v>31</v>
      </c>
    </row>
    <row r="21" spans="2:14">
      <c r="B21" t="str" cm="1">
        <f t="array" aca="1" ref="B21:D25" ca="1">_xlfn._xlws.SORT(_xlfn._xlws.FILTER(INDEX(tbEmploDetails[],_xlfn.SEQUENCE(ROWS(tbEmploDetails[])),{3,36,37}),(tbEmploDetails[מס'' תרגילים בשנה אחרונה]&gt;0) * (tbEmploDetails[האם פעיל] = "פעיל"),"אין תרגילים בשנה אחרונה"),IF(D18="כמות",2,3),1,FALSE)</f>
        <v>בלום גיל</v>
      </c>
      <c r="C21">
        <f ca="1"/>
        <v>1</v>
      </c>
      <c r="D21" s="129">
        <f ca="1"/>
        <v>0</v>
      </c>
      <c r="F21" t="str" cm="1">
        <f t="array" aca="1" ref="F21:H62" ca="1">_xlfn._xlws.SORT(_xlfn._xlws.FILTER(INDEX(tbEmploDetails[],_xlfn.SEQUENCE(ROWS(tbEmploDetails[])),{3,13,15}),(tbEmploDetails[מס'' תרגילים בשנה אחרונה]=0) * (tbEmploDetails[האם פעיל] = "פעיל") * (tbEmploDetails[תפקיד] &lt;&gt; "אחר") * (tbEmploDetails[תפקיד] &lt;&gt; "נהג"),"אין מי שלא עבר תרגיל בשנה אחרונה"),2,-1,FALSE)</f>
        <v>אבידן שירה</v>
      </c>
      <c r="G21" s="120">
        <f ca="1"/>
        <v>44901</v>
      </c>
      <c r="H21" t="str">
        <f ca="1"/>
        <v>1 שנים, 9 חודשים</v>
      </c>
      <c r="J21" s="2" cm="1">
        <f t="array" aca="1" ref="J21:N25" ca="1">_xlfn._xlws.SORT(_xlfn._xlws.FILTER(INDEX(tbDrills[],_xlfn.SEQUENCE(ROWS(tbDrills[])),{1,3,4,5,10}),tbDrills[תאריך]&gt;=monthAgoCell,"----"),_xlfn.SWITCH($N$18,"תאריך",1,"אחמש",2,"מאבטח",3,"נושא",4,"ציון",5,0,1),-1,FALSE)</f>
        <v>45572</v>
      </c>
      <c r="K21" t="str">
        <f ca="1"/>
        <v>דוגמה</v>
      </c>
      <c r="L21" t="str">
        <f ca="1"/>
        <v>בן דוד מאיה</v>
      </c>
      <c r="M21" t="str">
        <f ca="1"/>
        <v xml:space="preserve">דוגמה דוגמה דוגמה </v>
      </c>
      <c r="N21" t="str">
        <f ca="1"/>
        <v>לימודי</v>
      </c>
    </row>
    <row r="22" spans="2:14">
      <c r="B22" t="str">
        <f ca="1"/>
        <v>אלוני רועי</v>
      </c>
      <c r="C22">
        <f ca="1"/>
        <v>1</v>
      </c>
      <c r="D22" s="129">
        <f ca="1"/>
        <v>5</v>
      </c>
      <c r="F22" t="str">
        <f ca="1"/>
        <v>הררי יוני</v>
      </c>
      <c r="G22" s="120">
        <f ca="1"/>
        <v>44901</v>
      </c>
      <c r="H22" t="str">
        <f ca="1"/>
        <v>1 שנים, 9 חודשים</v>
      </c>
      <c r="J22" s="2">
        <f ca="1"/>
        <v>45572</v>
      </c>
      <c r="K22" t="str">
        <f ca="1"/>
        <v>דוגמה</v>
      </c>
      <c r="L22" t="str">
        <f ca="1"/>
        <v>בלום גיל</v>
      </c>
      <c r="M22" t="str">
        <f ca="1"/>
        <v xml:space="preserve">דוגמה דוגמה דוגמה </v>
      </c>
      <c r="N22" t="str">
        <f ca="1"/>
        <v>לא טוב</v>
      </c>
    </row>
    <row r="23" spans="2:14">
      <c r="B23" t="str">
        <f ca="1"/>
        <v>בן ארי יעל</v>
      </c>
      <c r="C23">
        <f ca="1"/>
        <v>1</v>
      </c>
      <c r="D23" s="129">
        <f ca="1"/>
        <v>5</v>
      </c>
      <c r="F23" t="str">
        <f ca="1"/>
        <v>שמיר אביגיל</v>
      </c>
      <c r="G23" s="120">
        <f ca="1"/>
        <v>44901</v>
      </c>
      <c r="H23" t="str">
        <f ca="1"/>
        <v>1 שנים, 9 חודשים</v>
      </c>
      <c r="J23" s="2">
        <f ca="1"/>
        <v>45572</v>
      </c>
      <c r="K23" t="str">
        <f ca="1"/>
        <v>דוגמה</v>
      </c>
      <c r="L23" t="str">
        <f ca="1"/>
        <v>רפפורט תומר</v>
      </c>
      <c r="M23" t="str">
        <f ca="1"/>
        <v xml:space="preserve">דוגמה דוגמה דוגמה </v>
      </c>
      <c r="N23" t="str">
        <f ca="1"/>
        <v>טוב</v>
      </c>
    </row>
    <row r="24" spans="2:14">
      <c r="B24" t="str">
        <f ca="1"/>
        <v>רפפורט תומר</v>
      </c>
      <c r="C24">
        <f ca="1"/>
        <v>1</v>
      </c>
      <c r="D24" s="129">
        <f ca="1"/>
        <v>10</v>
      </c>
      <c r="F24" t="str">
        <f ca="1"/>
        <v>גבאי אלון</v>
      </c>
      <c r="G24" s="120">
        <f ca="1"/>
        <v>44901</v>
      </c>
      <c r="H24" t="str">
        <f ca="1"/>
        <v>1 שנים, 9 חודשים</v>
      </c>
      <c r="J24" s="2">
        <f ca="1"/>
        <v>45572</v>
      </c>
      <c r="K24" t="str">
        <f ca="1"/>
        <v>דוגמה</v>
      </c>
      <c r="L24" t="str">
        <f ca="1"/>
        <v>אלוני רועי</v>
      </c>
      <c r="M24" t="str">
        <f ca="1"/>
        <v xml:space="preserve">דוגמה דוגמה דוגמה </v>
      </c>
      <c r="N24" t="str">
        <f ca="1"/>
        <v>בינוני</v>
      </c>
    </row>
    <row r="25" spans="2:14">
      <c r="B25" t="str">
        <f ca="1"/>
        <v>בן דוד מאיה</v>
      </c>
      <c r="C25">
        <f ca="1"/>
        <v>1</v>
      </c>
      <c r="D25" s="129" t="str">
        <f ca="1"/>
        <v/>
      </c>
      <c r="F25" t="str">
        <f ca="1"/>
        <v>ברק רותם</v>
      </c>
      <c r="G25" s="120">
        <f ca="1"/>
        <v>44901</v>
      </c>
      <c r="H25" t="str">
        <f ca="1"/>
        <v>1 שנים, 9 חודשים</v>
      </c>
      <c r="J25" s="2">
        <f ca="1"/>
        <v>45572</v>
      </c>
      <c r="K25" t="str">
        <f ca="1"/>
        <v>דוגמה</v>
      </c>
      <c r="L25" t="str">
        <f ca="1"/>
        <v>בן ארי יעל</v>
      </c>
      <c r="M25" t="str">
        <f ca="1"/>
        <v xml:space="preserve">דוגמה דוגמה דוגמה </v>
      </c>
      <c r="N25" t="str">
        <f ca="1"/>
        <v>בינוני</v>
      </c>
    </row>
    <row r="26" spans="2:14">
      <c r="F26" t="str">
        <f ca="1"/>
        <v>שדה ליאור</v>
      </c>
      <c r="G26" s="120">
        <f ca="1"/>
        <v>44392</v>
      </c>
      <c r="H26" t="str">
        <f ca="1"/>
        <v>3 שנים, 2 חודשים</v>
      </c>
    </row>
    <row r="27" spans="2:14">
      <c r="F27" t="str">
        <f ca="1"/>
        <v>אלון עומר</v>
      </c>
      <c r="G27" s="120">
        <f ca="1"/>
        <v>44392</v>
      </c>
      <c r="H27" t="str">
        <f ca="1"/>
        <v>3 שנים, 2 חודשים</v>
      </c>
    </row>
    <row r="28" spans="2:14">
      <c r="F28" t="str">
        <f ca="1"/>
        <v>זילברמן איתי</v>
      </c>
      <c r="G28" s="120">
        <f ca="1"/>
        <v>44392</v>
      </c>
      <c r="H28" t="str">
        <f ca="1"/>
        <v>3 שנים, 2 חודשים</v>
      </c>
    </row>
    <row r="29" spans="2:14">
      <c r="F29" t="str">
        <f ca="1"/>
        <v>הראל דניאל</v>
      </c>
      <c r="G29" s="120">
        <f ca="1"/>
        <v>44392</v>
      </c>
      <c r="H29" t="str">
        <f ca="1"/>
        <v>3 שנים, 2 חודשים</v>
      </c>
    </row>
    <row r="30" spans="2:14">
      <c r="F30" t="str">
        <f ca="1"/>
        <v>רז אלעד</v>
      </c>
      <c r="G30" s="120">
        <f ca="1"/>
        <v>44158</v>
      </c>
      <c r="H30" t="str">
        <f ca="1"/>
        <v>3 שנים, 10 חודשים</v>
      </c>
    </row>
    <row r="31" spans="2:14">
      <c r="F31" t="str">
        <f ca="1"/>
        <v>גרין איתי</v>
      </c>
      <c r="G31" s="120">
        <f ca="1"/>
        <v>43711</v>
      </c>
      <c r="H31" t="str">
        <f ca="1"/>
        <v>5 שנים, 15 ימים</v>
      </c>
    </row>
    <row r="32" spans="2:14">
      <c r="F32" t="str">
        <f ca="1"/>
        <v>רוזנבלום טל</v>
      </c>
      <c r="G32" s="120">
        <f ca="1"/>
        <v>43711</v>
      </c>
      <c r="H32" t="str">
        <f ca="1"/>
        <v>5 שנים, 15 ימים</v>
      </c>
    </row>
    <row r="33" spans="6:8">
      <c r="F33" t="str">
        <f ca="1"/>
        <v>לרנר יובל</v>
      </c>
      <c r="G33" s="120">
        <f ca="1"/>
        <v>43711</v>
      </c>
      <c r="H33" t="str">
        <f ca="1"/>
        <v>5 שנים, 15 ימים</v>
      </c>
    </row>
    <row r="34" spans="6:8">
      <c r="F34" t="str">
        <f ca="1"/>
        <v>ברונר ניב</v>
      </c>
      <c r="G34" s="120">
        <f ca="1"/>
        <v>43711</v>
      </c>
      <c r="H34" t="str">
        <f ca="1"/>
        <v>5 שנים, 15 ימים</v>
      </c>
    </row>
    <row r="35" spans="6:8">
      <c r="F35" t="str">
        <f ca="1"/>
        <v>שחם רועי</v>
      </c>
      <c r="G35" s="120">
        <f ca="1"/>
        <v>43711</v>
      </c>
      <c r="H35" t="str">
        <f ca="1"/>
        <v>5 שנים, 15 ימים</v>
      </c>
    </row>
    <row r="36" spans="6:8">
      <c r="F36" t="str">
        <f ca="1"/>
        <v>פרץ תמר</v>
      </c>
      <c r="G36" s="120">
        <f ca="1"/>
        <v>43711</v>
      </c>
      <c r="H36" t="str">
        <f ca="1"/>
        <v>5 שנים, 15 ימים</v>
      </c>
    </row>
    <row r="37" spans="6:8">
      <c r="F37" t="str">
        <f ca="1"/>
        <v>כהן אורי</v>
      </c>
      <c r="G37" s="120">
        <f ca="1"/>
        <v>43232</v>
      </c>
      <c r="H37" t="str">
        <f ca="1"/>
        <v>6 שנים, 4 חודשים</v>
      </c>
    </row>
    <row r="38" spans="6:8">
      <c r="F38" t="str">
        <f ca="1"/>
        <v>שרון גלי</v>
      </c>
      <c r="G38" s="120">
        <f ca="1"/>
        <v>43232</v>
      </c>
      <c r="H38" t="str">
        <f ca="1"/>
        <v>6 שנים, 4 חודשים</v>
      </c>
    </row>
    <row r="39" spans="6:8">
      <c r="F39" t="str">
        <f ca="1"/>
        <v>שדה יערה</v>
      </c>
      <c r="G39" s="120">
        <f ca="1"/>
        <v>43232</v>
      </c>
      <c r="H39" t="str">
        <f ca="1"/>
        <v>6 שנים, 4 חודשים</v>
      </c>
    </row>
    <row r="40" spans="6:8">
      <c r="F40" t="str">
        <f ca="1"/>
        <v>שגיא ליאת</v>
      </c>
      <c r="G40" s="120">
        <f ca="1"/>
        <v>43232</v>
      </c>
      <c r="H40" t="str">
        <f ca="1"/>
        <v>6 שנים, 4 חודשים</v>
      </c>
    </row>
    <row r="41" spans="6:8">
      <c r="F41" t="str">
        <f ca="1"/>
        <v>דיין טל</v>
      </c>
      <c r="G41" s="120">
        <f ca="1"/>
        <v>43232</v>
      </c>
      <c r="H41" t="str">
        <f ca="1"/>
        <v>6 שנים, 4 חודשים</v>
      </c>
    </row>
    <row r="42" spans="6:8">
      <c r="F42" t="str">
        <f ca="1"/>
        <v>דקל יעל</v>
      </c>
      <c r="G42" s="120">
        <f ca="1"/>
        <v>43232</v>
      </c>
      <c r="H42" t="str">
        <f ca="1"/>
        <v>6 שנים, 4 חודשים</v>
      </c>
    </row>
    <row r="43" spans="6:8">
      <c r="F43" t="str">
        <f ca="1"/>
        <v>שפירא יונתן</v>
      </c>
      <c r="G43" s="120">
        <f ca="1"/>
        <v>42802</v>
      </c>
      <c r="H43" t="str">
        <f ca="1"/>
        <v>7 שנים, 6 חודשים</v>
      </c>
    </row>
    <row r="44" spans="6:8">
      <c r="F44" t="str">
        <f ca="1"/>
        <v>שמש מיכל</v>
      </c>
      <c r="G44" s="120">
        <f ca="1"/>
        <v>42802</v>
      </c>
      <c r="H44" t="str">
        <f ca="1"/>
        <v>7 שנים, 6 חודשים</v>
      </c>
    </row>
    <row r="45" spans="6:8">
      <c r="F45" t="str">
        <f ca="1"/>
        <v>דרורי יונתן</v>
      </c>
      <c r="G45" s="120">
        <f ca="1"/>
        <v>42802</v>
      </c>
      <c r="H45" t="str">
        <f ca="1"/>
        <v>7 שנים, 6 חודשים</v>
      </c>
    </row>
    <row r="46" spans="6:8">
      <c r="F46" t="str">
        <f ca="1"/>
        <v>מגן נדב</v>
      </c>
      <c r="G46" s="120">
        <f ca="1"/>
        <v>42802</v>
      </c>
      <c r="H46" t="str">
        <f ca="1"/>
        <v>7 שנים, 6 חודשים</v>
      </c>
    </row>
    <row r="47" spans="6:8">
      <c r="F47" t="str">
        <f ca="1"/>
        <v>קרמר דניאל</v>
      </c>
      <c r="G47" s="120">
        <f ca="1"/>
        <v>42802</v>
      </c>
      <c r="H47" t="str">
        <f ca="1"/>
        <v>7 שנים, 6 חודשים</v>
      </c>
    </row>
    <row r="48" spans="6:8">
      <c r="F48" t="str">
        <f ca="1"/>
        <v>פלג נדב</v>
      </c>
      <c r="G48" s="120">
        <f ca="1"/>
        <v>42802</v>
      </c>
      <c r="H48" t="str">
        <f ca="1"/>
        <v>7 שנים, 6 חודשים</v>
      </c>
    </row>
    <row r="49" spans="6:8">
      <c r="F49" t="str">
        <f ca="1"/>
        <v>גולדשטיין יאיר</v>
      </c>
      <c r="G49" s="120">
        <f ca="1"/>
        <v>42611</v>
      </c>
      <c r="H49" t="str">
        <f ca="1"/>
        <v>8 שנים, 4 ימים</v>
      </c>
    </row>
    <row r="50" spans="6:8">
      <c r="F50" t="str">
        <f ca="1"/>
        <v>קפלן רונית</v>
      </c>
      <c r="G50" s="120">
        <f ca="1"/>
        <v>42611</v>
      </c>
      <c r="H50" t="str">
        <f ca="1"/>
        <v>8 שנים, 4 ימים</v>
      </c>
    </row>
    <row r="51" spans="6:8">
      <c r="F51" t="str">
        <f ca="1"/>
        <v>ברוש עידן</v>
      </c>
      <c r="G51" s="120">
        <f ca="1"/>
        <v>42611</v>
      </c>
      <c r="H51" t="str">
        <f ca="1"/>
        <v>8 שנים, 4 ימים</v>
      </c>
    </row>
    <row r="52" spans="6:8">
      <c r="F52" t="str">
        <f ca="1"/>
        <v>כהן עדי</v>
      </c>
      <c r="G52" s="120">
        <f ca="1"/>
        <v>42611</v>
      </c>
      <c r="H52" t="str">
        <f ca="1"/>
        <v>8 שנים, 4 ימים</v>
      </c>
    </row>
    <row r="53" spans="6:8">
      <c r="F53" t="str">
        <f ca="1"/>
        <v>גל יובל</v>
      </c>
      <c r="G53" s="120">
        <f ca="1"/>
        <v>42611</v>
      </c>
      <c r="H53" t="str">
        <f ca="1"/>
        <v>8 שנים, 4 ימים</v>
      </c>
    </row>
    <row r="54" spans="6:8">
      <c r="F54" t="str">
        <f ca="1"/>
        <v>אורן עומר</v>
      </c>
      <c r="G54" s="120">
        <f ca="1"/>
        <v>42611</v>
      </c>
      <c r="H54" t="str">
        <f ca="1"/>
        <v>8 שנים, 4 ימים</v>
      </c>
    </row>
    <row r="55" spans="6:8">
      <c r="F55" t="str">
        <f ca="1"/>
        <v>ברגר סיוון</v>
      </c>
      <c r="G55" s="120">
        <f ca="1"/>
        <v>42388</v>
      </c>
      <c r="H55" t="str">
        <f ca="1"/>
        <v>8 שנים, 8 חודשים</v>
      </c>
    </row>
    <row r="56" spans="6:8">
      <c r="F56" t="str">
        <f ca="1"/>
        <v>שמר גל</v>
      </c>
      <c r="G56" s="120">
        <f ca="1"/>
        <v>42388</v>
      </c>
      <c r="H56" t="str">
        <f ca="1"/>
        <v>8 שנים, 8 חודשים</v>
      </c>
    </row>
    <row r="57" spans="6:8">
      <c r="F57" t="str">
        <f ca="1"/>
        <v>לרנר אלעד</v>
      </c>
      <c r="G57" s="120">
        <f ca="1"/>
        <v>42388</v>
      </c>
      <c r="H57" t="str">
        <f ca="1"/>
        <v>8 שנים, 8 חודשים</v>
      </c>
    </row>
    <row r="58" spans="6:8">
      <c r="F58" t="str">
        <f ca="1"/>
        <v>נחשון דנה</v>
      </c>
      <c r="G58" s="120">
        <f ca="1"/>
        <v>42388</v>
      </c>
      <c r="H58" t="str">
        <f ca="1"/>
        <v>8 שנים, 8 חודשים</v>
      </c>
    </row>
    <row r="59" spans="6:8">
      <c r="F59" t="str">
        <f ca="1"/>
        <v>מור ניר</v>
      </c>
      <c r="G59" s="120">
        <f ca="1"/>
        <v>42388</v>
      </c>
      <c r="H59" t="str">
        <f ca="1"/>
        <v>8 שנים, 8 חודשים</v>
      </c>
    </row>
    <row r="60" spans="6:8">
      <c r="F60" t="str">
        <f ca="1"/>
        <v>זלצר נועה</v>
      </c>
      <c r="G60" s="120">
        <f ca="1"/>
        <v>42307</v>
      </c>
      <c r="H60" t="str">
        <f ca="1"/>
        <v>8 שנים, 10 חודשים</v>
      </c>
    </row>
    <row r="61" spans="6:8">
      <c r="F61" t="str">
        <f ca="1"/>
        <v>פרידמן רונית</v>
      </c>
      <c r="G61" s="120">
        <f ca="1"/>
        <v>41754</v>
      </c>
      <c r="H61" t="str">
        <f ca="1"/>
        <v>10 שנים, 4 חודשים</v>
      </c>
    </row>
    <row r="62" spans="6:8">
      <c r="F62" t="str">
        <f ca="1"/>
        <v>הורוביץ יואב</v>
      </c>
      <c r="G62" s="120">
        <f ca="1"/>
        <v>41754</v>
      </c>
      <c r="H62" t="str">
        <f ca="1"/>
        <v>10 שנים, 4 חודשים</v>
      </c>
    </row>
  </sheetData>
  <sheetProtection algorithmName="SHA-512" hashValue="tIrdVsTuTSyVDj9j6FhrBwEEx01OPyw90sgMh+bfBkwRGn1Thxyqrf8/mW/t+siBMpHudYhLFBE7vJma5Td4ew==" saltValue="Eeo5JxzHepQClDDVC+hZTw==" spinCount="100000" sheet="1" objects="1" scenarios="1"/>
  <conditionalFormatting sqref="D1:D1048576">
    <cfRule type="colorScale" priority="2">
      <colorScale>
        <cfvo type="min"/>
        <cfvo type="percentile" val="50"/>
        <cfvo type="max"/>
        <color rgb="FFFBAFB1"/>
        <color rgb="FFFFF2AF"/>
        <color rgb="FFB3DFBF"/>
      </colorScale>
    </cfRule>
  </conditionalFormatting>
  <conditionalFormatting sqref="N18">
    <cfRule type="colorScale" priority="1">
      <colorScale>
        <cfvo type="min"/>
        <cfvo type="percentile" val="50"/>
        <cfvo type="max"/>
        <color rgb="FFFBAFB1"/>
        <color rgb="FFFFF2AF"/>
        <color rgb="FFB3DFBF"/>
      </colorScale>
    </cfRule>
  </conditionalFormatting>
  <dataValidations count="2">
    <dataValidation type="list" allowBlank="1" showInputMessage="1" showErrorMessage="1" sqref="N18" xr:uid="{177DB0A0-AC68-4B27-AA36-57F23503681E}">
      <formula1>"תאריך, אחמש, מאבטח, נושא, ציון"</formula1>
    </dataValidation>
    <dataValidation type="list" allowBlank="1" showInputMessage="1" showErrorMessage="1" sqref="D18" xr:uid="{A1AFBAA0-04AC-40D2-9611-2EC25FC2434C}">
      <formula1>"כמות, ציון"</formula1>
    </dataValidation>
  </dataValidations>
  <printOptions horizontalCentered="1"/>
  <pageMargins left="3.937007874015748E-2" right="3.937007874015748E-2" top="0.39370078740157483" bottom="0.39370078740157483" header="0.11811023622047245" footer="0.11811023622047245"/>
  <pageSetup paperSize="9" fitToHeight="0" orientation="portrait" r:id="rId1"/>
  <headerFooter>
    <oddHeader>&amp;L&amp;D, &amp;T&amp;Rקובץ: &amp;F
גיליון: &amp;A</oddHeader>
    <oddFooter>&amp;Cעמוד &amp;P מתוך 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D1083-0A17-4C20-849D-9D83731ED510}">
  <sheetPr codeName="גיליון21">
    <tabColor rgb="FF002060"/>
  </sheetPr>
  <dimension ref="B2:M27"/>
  <sheetViews>
    <sheetView showGridLines="0" rightToLeft="1" workbookViewId="0">
      <selection activeCell="H9" sqref="H9"/>
    </sheetView>
  </sheetViews>
  <sheetFormatPr defaultRowHeight="13.8"/>
  <cols>
    <col min="2" max="2" width="12.69921875" customWidth="1"/>
    <col min="3" max="3" width="15.5" style="2" customWidth="1"/>
    <col min="4" max="4" width="11.8984375" bestFit="1" customWidth="1"/>
    <col min="6" max="6" width="14.3984375" bestFit="1" customWidth="1"/>
    <col min="8" max="8" width="11" customWidth="1"/>
    <col min="9" max="9" width="48.19921875" hidden="1" customWidth="1"/>
    <col min="10" max="10" width="25" hidden="1" customWidth="1"/>
    <col min="11" max="11" width="16.59765625" hidden="1" customWidth="1"/>
    <col min="12" max="12" width="30.69921875" hidden="1" customWidth="1"/>
    <col min="13" max="13" width="10.8984375" bestFit="1" customWidth="1"/>
  </cols>
  <sheetData>
    <row r="2" spans="2:13" ht="28.2" thickBot="1">
      <c r="B2" s="113" t="s">
        <v>156</v>
      </c>
      <c r="C2" s="112" t="s">
        <v>336</v>
      </c>
      <c r="D2" s="132" t="s">
        <v>337</v>
      </c>
      <c r="F2" s="280" t="s">
        <v>339</v>
      </c>
      <c r="H2" s="280" t="s">
        <v>374</v>
      </c>
      <c r="I2" s="280" t="s">
        <v>369</v>
      </c>
      <c r="J2" s="280" t="s">
        <v>370</v>
      </c>
      <c r="K2" s="280" t="s">
        <v>371</v>
      </c>
      <c r="L2" s="280" t="s">
        <v>372</v>
      </c>
      <c r="M2" s="280" t="s">
        <v>373</v>
      </c>
    </row>
    <row r="3" spans="2:13" ht="17.25" customHeight="1" thickBot="1">
      <c r="B3" t="e" cm="1">
        <f t="array" aca="1" ref="B3" ca="1">_xlfn._xlws.SORT(_xlfn._xlws.FILTER(INDEX(tbEmploDetails[#Data],_xlfn.SEQUENCE(ROWS(tbEmploDetails[#Data])),{3,22,23}),(tbEmploDetails[האם פעיל]="פעיל") * (tbEmploDetails[זמן להצ'' בריאות באה]&lt;45),"0000"),3,1,FALSE)</f>
        <v>#VALUE!</v>
      </c>
      <c r="F3" t="str" cm="1">
        <f t="array" ref="F3">_xlfn._xlws.SORT(_xlfn._xlws.FILTER(tbEmploDetails[שם מלא],(tbEmploDetails[האם פעיל]="פעיל") * (tbEmploDetails[תאריך הצ'' בריאות נוכחית]="") * (tbEmploDetails[תפקיד] &lt;&gt; "נהג"), "---"))</f>
        <v>---</v>
      </c>
      <c r="H3" s="343"/>
      <c r="I3" s="341" t="e">
        <f ca="1">"שלום,
ב-"&amp;TEXT(VLOOKUP(H3,_xlfn.ANCHORARRAY($B$3),2,FALSE)+365,"DD/MM/YY")&amp;J3</f>
        <v>#N/A</v>
      </c>
      <c r="J3" s="341" t="s">
        <v>375</v>
      </c>
      <c r="K3" s="342" t="e">
        <f>SUBSTITUTE(972&amp;RIGHT(VLOOKUP(H3,tbEmploDetails[[שם מלא]:[מס'' טלפון]],3,FALSE),10),"-","")</f>
        <v>#N/A</v>
      </c>
      <c r="L3" s="341" t="e">
        <f ca="1">"https://wa.me/"&amp;K3&amp;"?text="&amp;SUBSTITUTE(SUBSTITUTE(I3, " ", "%20"), CHAR(10), "%0A")</f>
        <v>#N/A</v>
      </c>
      <c r="M3" s="341"/>
    </row>
    <row r="5" spans="2:13" ht="14.25" customHeight="1"/>
    <row r="24" spans="9:9" ht="22.5" customHeight="1"/>
    <row r="26" spans="9:9">
      <c r="I26" s="340"/>
    </row>
    <row r="27" spans="9:9">
      <c r="I27" s="340"/>
    </row>
  </sheetData>
  <conditionalFormatting sqref="D1:D104857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dataValidations count="1">
    <dataValidation type="list" allowBlank="1" showInputMessage="1" showErrorMessage="1" sqref="H3" xr:uid="{1D7E9A45-E7CC-4164-A933-A2C8DF8589DB}">
      <formula1>$B$3:$B$30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SendWhatsAppMessage">
                <anchor moveWithCells="1">
                  <from>
                    <xdr:col>12</xdr:col>
                    <xdr:colOff>60960</xdr:colOff>
                    <xdr:row>2</xdr:row>
                    <xdr:rowOff>22860</xdr:rowOff>
                  </from>
                  <to>
                    <xdr:col>12</xdr:col>
                    <xdr:colOff>731520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0A628-0636-4B13-A41E-8A7CA1D01307}">
  <sheetPr codeName="גיליון2">
    <tabColor theme="7" tint="0.39997558519241921"/>
    <pageSetUpPr fitToPage="1"/>
  </sheetPr>
  <dimension ref="A1:AQ70"/>
  <sheetViews>
    <sheetView rightToLeft="1" topLeftCell="E1" zoomScale="121" zoomScaleNormal="121" workbookViewId="0">
      <selection activeCell="J5" sqref="J5"/>
    </sheetView>
  </sheetViews>
  <sheetFormatPr defaultRowHeight="13.8"/>
  <cols>
    <col min="1" max="1" width="11.8984375" customWidth="1"/>
    <col min="2" max="2" width="9.59765625" customWidth="1"/>
    <col min="3" max="3" width="12.59765625" customWidth="1"/>
    <col min="4" max="4" width="11.3984375" customWidth="1"/>
    <col min="5" max="5" width="13.09765625" customWidth="1"/>
    <col min="6" max="6" width="23.59765625" bestFit="1" customWidth="1"/>
    <col min="7" max="7" width="15" customWidth="1"/>
    <col min="8" max="8" width="13.59765625" customWidth="1"/>
    <col min="9" max="9" width="6.5" customWidth="1"/>
    <col min="10" max="10" width="14.69921875" customWidth="1"/>
    <col min="11" max="11" width="15.69921875" customWidth="1"/>
    <col min="12" max="12" width="15.09765625" customWidth="1"/>
    <col min="13" max="15" width="15.3984375" customWidth="1"/>
    <col min="16" max="16" width="10.09765625" customWidth="1"/>
    <col min="17" max="18" width="11.3984375" customWidth="1"/>
    <col min="19" max="21" width="13.3984375" customWidth="1"/>
    <col min="22" max="22" width="13.19921875" customWidth="1"/>
    <col min="23" max="23" width="11.8984375" customWidth="1"/>
    <col min="24" max="24" width="10.8984375" customWidth="1"/>
    <col min="25" max="25" width="13.8984375" customWidth="1"/>
    <col min="26" max="28" width="12.09765625" customWidth="1"/>
    <col min="29" max="34" width="12" customWidth="1"/>
    <col min="35" max="35" width="11.59765625" customWidth="1"/>
    <col min="36" max="37" width="9" customWidth="1"/>
    <col min="40" max="42" width="9" customWidth="1"/>
    <col min="43" max="43" width="23.5" bestFit="1" customWidth="1"/>
  </cols>
  <sheetData>
    <row r="1" spans="1:43" s="44" customFormat="1" ht="55.2">
      <c r="A1" s="44" t="s">
        <v>0</v>
      </c>
      <c r="B1" s="44" t="s">
        <v>1</v>
      </c>
      <c r="C1" s="45" t="s">
        <v>37</v>
      </c>
      <c r="D1" s="44" t="s">
        <v>2</v>
      </c>
      <c r="E1" s="44" t="s">
        <v>3</v>
      </c>
      <c r="F1" s="44" t="s">
        <v>170</v>
      </c>
      <c r="G1" s="45" t="s">
        <v>4</v>
      </c>
      <c r="H1" s="44" t="s">
        <v>5</v>
      </c>
      <c r="I1" s="44" t="s">
        <v>6</v>
      </c>
      <c r="J1" s="327" t="s">
        <v>361</v>
      </c>
      <c r="K1" s="327" t="s">
        <v>118</v>
      </c>
      <c r="L1" s="328" t="s">
        <v>119</v>
      </c>
      <c r="M1" s="44" t="s">
        <v>10</v>
      </c>
      <c r="N1" s="46" t="s">
        <v>144</v>
      </c>
      <c r="O1" s="46" t="s">
        <v>219</v>
      </c>
      <c r="P1" s="44" t="s">
        <v>7</v>
      </c>
      <c r="Q1" s="45" t="s">
        <v>72</v>
      </c>
      <c r="R1" s="45" t="s">
        <v>145</v>
      </c>
      <c r="S1" s="47" t="s">
        <v>8</v>
      </c>
      <c r="T1" s="47" t="s">
        <v>9</v>
      </c>
      <c r="U1" s="44" t="s">
        <v>94</v>
      </c>
      <c r="V1" s="44" t="s">
        <v>11</v>
      </c>
      <c r="W1" s="45" t="s">
        <v>12</v>
      </c>
      <c r="X1" s="45" t="s">
        <v>52</v>
      </c>
      <c r="Y1" s="45" t="s">
        <v>39</v>
      </c>
      <c r="Z1" s="45" t="s">
        <v>13</v>
      </c>
      <c r="AA1" s="45" t="s">
        <v>197</v>
      </c>
      <c r="AB1" s="45" t="s">
        <v>199</v>
      </c>
      <c r="AC1" s="45" t="s">
        <v>16</v>
      </c>
      <c r="AD1" s="45" t="s">
        <v>17</v>
      </c>
      <c r="AE1" s="45" t="s">
        <v>232</v>
      </c>
      <c r="AF1" s="45" t="s">
        <v>233</v>
      </c>
      <c r="AG1" s="45" t="s">
        <v>234</v>
      </c>
      <c r="AH1" s="45" t="s">
        <v>14</v>
      </c>
      <c r="AI1" s="45" t="s">
        <v>15</v>
      </c>
      <c r="AJ1" s="45" t="s">
        <v>196</v>
      </c>
      <c r="AK1" s="45" t="s">
        <v>239</v>
      </c>
      <c r="AL1" s="44" t="s">
        <v>357</v>
      </c>
      <c r="AM1" s="44" t="s">
        <v>358</v>
      </c>
      <c r="AN1" s="44" t="s">
        <v>362</v>
      </c>
      <c r="AO1" s="44" t="s">
        <v>363</v>
      </c>
      <c r="AP1" s="45" t="s">
        <v>341</v>
      </c>
      <c r="AQ1" s="45" t="s">
        <v>368</v>
      </c>
    </row>
    <row r="2" spans="1:43">
      <c r="A2" s="371" t="s">
        <v>33</v>
      </c>
      <c r="B2" s="371" t="s">
        <v>376</v>
      </c>
      <c r="C2" s="4" t="str">
        <f>TRIM(tbEmploDetails[[#This Row],[שם משפחה]])&amp;" "&amp;TRIM(tbEmploDetails[[#This Row],[שם פרטי]])</f>
        <v>כהן אורי</v>
      </c>
      <c r="D2" t="s">
        <v>459</v>
      </c>
      <c r="E2" t="s">
        <v>519</v>
      </c>
      <c r="F2" t="s">
        <v>561</v>
      </c>
      <c r="G2" t="str">
        <f>TRIM(tbEmploDetails[[#This Row],[כתובת - שם רחוב]]&amp;" "&amp;tbEmploDetails[[#This Row],[כתובת - מס'' רחוב]])</f>
        <v>הנשיא 15</v>
      </c>
      <c r="H2" t="s">
        <v>630</v>
      </c>
      <c r="I2" s="49" t="s">
        <v>35</v>
      </c>
      <c r="J2" s="6"/>
      <c r="L2" t="str">
        <f>TRIM(tbEmploDetails[[#This Row],[איש קשר - שם מלא]] &amp; " (" &amp; tbEmploDetails[[#This Row],[איש קשר - טיב קשר]] &amp; ")")</f>
        <v>()</v>
      </c>
      <c r="M2" s="43">
        <v>43232</v>
      </c>
      <c r="N2" s="4">
        <f ca="1">IF(tbEmploDetails[[#This Row],[תאריך תחילת תעסוקה נוכחית]],TODAY()-tbEmploDetails[[#This Row],[תאריך תחילת תעסוקה נוכחית]],"חסר מידע")</f>
        <v>2326</v>
      </c>
      <c r="O2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6 שנים, 4 חודשים</v>
      </c>
      <c r="P2" s="49" t="s">
        <v>120</v>
      </c>
      <c r="Q2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2" s="48">
        <f>MAX(_xlfn.MAXIFS(tbShetchExam[מס'' פעם], tbShetchExam[נבחן],tbEmploDetails[[#This Row],[שם מלא]]))</f>
        <v>0</v>
      </c>
      <c r="S2" t="s">
        <v>40</v>
      </c>
      <c r="T2" t="s">
        <v>42</v>
      </c>
      <c r="U2" t="s">
        <v>93</v>
      </c>
      <c r="V2" s="2">
        <v>45298</v>
      </c>
      <c r="W2" s="4">
        <f ca="1">IF(tbEmploDetails[[#This Row],[תאריך הצ'' בריאות נוכחית]],EDATE(tbEmploDetails[[#This Row],[תאריך הצ'' בריאות נוכחית]],12)-TODAY(),"")</f>
        <v>106</v>
      </c>
      <c r="X2" s="4">
        <f>COUNTIFS(tbLate[איחור בדק''/חור],"&lt;&gt;חור",tbLate[שם המאחר],tbEmploDetails[[#This Row],[שם מלא]])</f>
        <v>0</v>
      </c>
      <c r="Y2" s="4">
        <f>COUNTIFS(tbLate[איחור בדק''/חור],"חור",tbLate[שם המאחר],tbEmploDetails[[#This Row],[שם מלא]])</f>
        <v>0</v>
      </c>
      <c r="Z2" s="133" t="str">
        <f>IFERROR(AVERAGEIFS(tbLate[איחור בדק''/חור],tbLate[שם המאחר],tbEmploDetails[[#This Row],[שם מלא]]),"")</f>
        <v/>
      </c>
      <c r="AA2" s="4">
        <f ca="1">COUNTIFS(tbLate[שם המאחר],tbEmploDetails[[#This Row],[שם מלא]],tbLate[תאריך],"&gt;"&amp;months2AgoCell,tbLate[מס''דק''איחור],"&gt;0")</f>
        <v>0</v>
      </c>
      <c r="AB2" s="4">
        <f ca="1">COUNTIFS(tbLate[שם המאחר],tbEmploDetails[[#This Row],[שם מלא]],tbLate[תאריך],"&gt;"&amp;months2AgoCell,tbLate[האם חור],"&gt;0")</f>
        <v>0</v>
      </c>
      <c r="AC2" s="4">
        <f>COUNTIFS(tbPerfReview[מאבטח],tbEmploDetails[[#This Row],[שם מלא]])</f>
        <v>0</v>
      </c>
      <c r="AD2" s="133" t="str">
        <f>IFERROR(AVERAGEIFS(tbPerfReview[ציון],tbPerfReview[מאבטח],tbEmploDetails[[#This Row],[שם מלא]]),"")</f>
        <v/>
      </c>
      <c r="AE2" s="4">
        <f ca="1">COUNTIFS(tbPerfReview[תאריך],"&gt;"&amp;yearAgoCell,tbPerfReview[מאבטח],tbEmploDetails[[#This Row],[שם מלא]])</f>
        <v>0</v>
      </c>
      <c r="AF2" s="133" t="str">
        <f ca="1">IFERROR(AVERAGEIFS(tbPerfReview[ציון],tbPerfReview[מאבטח],tbEmploDetails[[#This Row],[שם מלא]],tbPerfReview[תאריך],"&gt;="&amp;yearAgoCell),"")</f>
        <v/>
      </c>
      <c r="AG2" s="4"/>
      <c r="AH2" s="4">
        <f>COUNTIFS(tbDrills[מאבטח],tbEmploDetails[[#This Row],[שם מלא]])</f>
        <v>0</v>
      </c>
      <c r="AI2" s="4" t="str">
        <f>IFERROR(AVERAGEIFS(tbDrills[ציון],tbDrills[מאבטח],tbEmploDetails[[#This Row],[שם מלא]]),"")</f>
        <v/>
      </c>
      <c r="AJ2" s="4">
        <f ca="1">COUNTIFS(tbDrills[תאריך],"&gt;"&amp;yearAgoCell,tbDrills[מאבטח],tbEmploDetails[[#This Row],[שם מלא]])</f>
        <v>0</v>
      </c>
      <c r="AK2" s="4" t="str">
        <f ca="1">IFERROR(AVERAGEIFS(tbDrills[ציון],tbDrills[מאבטח],tbEmploDetails[[#This Row],[שם מלא]],tbDrills[תאריך],"&gt;="&amp;yearAgoCell),"")</f>
        <v/>
      </c>
      <c r="AL2" t="s">
        <v>658</v>
      </c>
      <c r="AM2" s="370">
        <v>15</v>
      </c>
      <c r="AN2" s="4"/>
      <c r="AO2" s="4"/>
      <c r="AP2" s="4">
        <f>ROW()</f>
        <v>2</v>
      </c>
      <c r="AQ2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הנשיא 15 , תל אביב</v>
      </c>
    </row>
    <row r="3" spans="1:43">
      <c r="A3" s="371" t="s">
        <v>34</v>
      </c>
      <c r="B3" s="371" t="s">
        <v>107</v>
      </c>
      <c r="C3" s="4" t="str">
        <f>TRIM(tbEmploDetails[[#This Row],[שם משפחה]])&amp;" "&amp;TRIM(tbEmploDetails[[#This Row],[שם פרטי]])</f>
        <v>לוי דניאל</v>
      </c>
      <c r="D3" t="s">
        <v>460</v>
      </c>
      <c r="E3" t="s">
        <v>520</v>
      </c>
      <c r="F3" t="s">
        <v>562</v>
      </c>
      <c r="G3" t="str">
        <f>TRIM(tbEmploDetails[[#This Row],[כתובת - שם רחוב]]&amp;" "&amp;tbEmploDetails[[#This Row],[כתובת - מס'' רחוב]])</f>
        <v>הגפן 9</v>
      </c>
      <c r="H3" t="s">
        <v>631</v>
      </c>
      <c r="I3" s="49" t="s">
        <v>36</v>
      </c>
      <c r="J3" s="6"/>
      <c r="L3" t="str">
        <f>TRIM(tbEmploDetails[[#This Row],[איש קשר - שם מלא]] &amp; " (" &amp; tbEmploDetails[[#This Row],[איש קשר - טיב קשר]] &amp; ")")</f>
        <v>()</v>
      </c>
      <c r="M3" s="43">
        <v>44158</v>
      </c>
      <c r="N3" s="4">
        <f ca="1">IF(tbEmploDetails[[#This Row],[תאריך תחילת תעסוקה נוכחית]],TODAY()-tbEmploDetails[[#This Row],[תאריך תחילת תעסוקה נוכחית]],"חסר מידע")</f>
        <v>1400</v>
      </c>
      <c r="O3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10 חודשים</v>
      </c>
      <c r="P3" s="49" t="s">
        <v>120</v>
      </c>
      <c r="Q3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3" s="48">
        <f>MAX(_xlfn.MAXIFS(tbShetchExam[מס'' פעם], tbShetchExam[נבחן],tbEmploDetails[[#This Row],[שם מלא]]))</f>
        <v>0</v>
      </c>
      <c r="S3" t="s">
        <v>40</v>
      </c>
      <c r="T3" t="s">
        <v>42</v>
      </c>
      <c r="U3" t="s">
        <v>93</v>
      </c>
      <c r="V3" s="2">
        <v>45344</v>
      </c>
      <c r="W3" s="4">
        <f ca="1">IF(tbEmploDetails[[#This Row],[תאריך הצ'' בריאות נוכחית]],EDATE(tbEmploDetails[[#This Row],[תאריך הצ'' בריאות נוכחית]],12)-TODAY(),"")</f>
        <v>152</v>
      </c>
      <c r="X3" s="4">
        <f>COUNTIFS(tbLate[איחור בדק''/חור],"&lt;&gt;חור",tbLate[שם המאחר],tbEmploDetails[[#This Row],[שם מלא]])</f>
        <v>0</v>
      </c>
      <c r="Y3" s="4">
        <f>COUNTIFS(tbLate[איחור בדק''/חור],"חור",tbLate[שם המאחר],tbEmploDetails[[#This Row],[שם מלא]])</f>
        <v>0</v>
      </c>
      <c r="Z3" s="133" t="str">
        <f>IFERROR(AVERAGEIFS(tbLate[איחור בדק''/חור],tbLate[שם המאחר],tbEmploDetails[[#This Row],[שם מלא]]),"")</f>
        <v/>
      </c>
      <c r="AA3" s="4">
        <f ca="1">COUNTIFS(tbLate[שם המאחר],tbEmploDetails[[#This Row],[שם מלא]],tbLate[תאריך],"&gt;"&amp;months2AgoCell,tbLate[מס''דק''איחור],"&gt;0")</f>
        <v>0</v>
      </c>
      <c r="AB3" s="4">
        <f ca="1">COUNTIFS(tbLate[שם המאחר],tbEmploDetails[[#This Row],[שם מלא]],tbLate[תאריך],"&gt;"&amp;months2AgoCell,tbLate[האם חור],"&gt;0")</f>
        <v>0</v>
      </c>
      <c r="AC3" s="4">
        <f>COUNTIFS(tbPerfReview[מאבטח],tbEmploDetails[[#This Row],[שם מלא]])</f>
        <v>0</v>
      </c>
      <c r="AD3" s="133" t="str">
        <f>IFERROR(AVERAGEIFS(tbPerfReview[ציון],tbPerfReview[מאבטח],tbEmploDetails[[#This Row],[שם מלא]]),"")</f>
        <v/>
      </c>
      <c r="AE3" s="4">
        <f ca="1">COUNTIFS(tbPerfReview[תאריך],"&gt;"&amp;yearAgoCell,tbPerfReview[מאבטח],tbEmploDetails[[#This Row],[שם מלא]])</f>
        <v>0</v>
      </c>
      <c r="AF3" s="133" t="str">
        <f ca="1">IFERROR(AVERAGEIFS(tbPerfReview[ציון],tbPerfReview[מאבטח],tbEmploDetails[[#This Row],[שם מלא]],tbPerfReview[תאריך],"&gt;="&amp;yearAgoCell),"")</f>
        <v/>
      </c>
      <c r="AG3" s="4"/>
      <c r="AH3" s="4">
        <f>COUNTIFS(tbDrills[מאבטח],tbEmploDetails[[#This Row],[שם מלא]])</f>
        <v>0</v>
      </c>
      <c r="AI3" s="4" t="str">
        <f>IFERROR(AVERAGEIFS(tbDrills[ציון],tbDrills[מאבטח],tbEmploDetails[[#This Row],[שם מלא]]),"")</f>
        <v/>
      </c>
      <c r="AJ3" s="4">
        <f ca="1">COUNTIFS(tbDrills[תאריך],"&gt;"&amp;yearAgoCell,tbDrills[מאבטח],tbEmploDetails[[#This Row],[שם מלא]])</f>
        <v>0</v>
      </c>
      <c r="AK3" s="4" t="str">
        <f ca="1">IFERROR(AVERAGEIFS(tbDrills[ציון],tbDrills[מאבטח],tbEmploDetails[[#This Row],[שם מלא]],tbDrills[תאריך],"&gt;="&amp;yearAgoCell),"")</f>
        <v/>
      </c>
      <c r="AL3" t="s">
        <v>659</v>
      </c>
      <c r="AM3" s="370">
        <v>9</v>
      </c>
      <c r="AN3" s="4"/>
      <c r="AO3" s="4"/>
      <c r="AP3" s="4">
        <f>ROW()</f>
        <v>3</v>
      </c>
      <c r="AQ3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הגפן 9 , חיפה</v>
      </c>
    </row>
    <row r="4" spans="1:43">
      <c r="A4" s="371" t="s">
        <v>377</v>
      </c>
      <c r="B4" s="371" t="s">
        <v>113</v>
      </c>
      <c r="C4" s="4" t="str">
        <f>TRIM(tbEmploDetails[[#This Row],[שם משפחה]])&amp;" "&amp;TRIM(tbEmploDetails[[#This Row],[שם פרטי]])</f>
        <v>שפירא יונתן</v>
      </c>
      <c r="D4" t="s">
        <v>461</v>
      </c>
      <c r="E4" t="s">
        <v>521</v>
      </c>
      <c r="F4" t="s">
        <v>563</v>
      </c>
      <c r="G4" t="str">
        <f>TRIM(tbEmploDetails[[#This Row],[כתובת - שם רחוב]]&amp;" "&amp;tbEmploDetails[[#This Row],[כתובת - מס'' רחוב]])</f>
        <v>אלנבי 24</v>
      </c>
      <c r="H4" t="s">
        <v>632</v>
      </c>
      <c r="I4" s="49" t="s">
        <v>35</v>
      </c>
      <c r="J4" s="6"/>
      <c r="L4" t="str">
        <f>TRIM(tbEmploDetails[[#This Row],[איש קשר - שם מלא]] &amp; " (" &amp; tbEmploDetails[[#This Row],[איש קשר - טיב קשר]] &amp; ")")</f>
        <v>()</v>
      </c>
      <c r="M4" s="43">
        <v>42802</v>
      </c>
      <c r="N4" s="4">
        <f ca="1">IF(tbEmploDetails[[#This Row],[תאריך תחילת תעסוקה נוכחית]],TODAY()-tbEmploDetails[[#This Row],[תאריך תחילת תעסוקה נוכחית]],"חסר מידע")</f>
        <v>2756</v>
      </c>
      <c r="O4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7 שנים, 6 חודשים</v>
      </c>
      <c r="P4" s="49" t="s">
        <v>120</v>
      </c>
      <c r="Q4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4" s="48">
        <f>MAX(_xlfn.MAXIFS(tbShetchExam[מס'' פעם], tbShetchExam[נבחן],tbEmploDetails[[#This Row],[שם מלא]]))</f>
        <v>0</v>
      </c>
      <c r="S4" t="s">
        <v>40</v>
      </c>
      <c r="T4" t="s">
        <v>42</v>
      </c>
      <c r="U4" t="s">
        <v>93</v>
      </c>
      <c r="V4" s="2">
        <v>45364</v>
      </c>
      <c r="W4" s="4">
        <f ca="1">IF(tbEmploDetails[[#This Row],[תאריך הצ'' בריאות נוכחית]],EDATE(tbEmploDetails[[#This Row],[תאריך הצ'' בריאות נוכחית]],12)-TODAY(),"")</f>
        <v>171</v>
      </c>
      <c r="X4" s="4">
        <f>COUNTIFS(tbLate[איחור בדק''/חור],"&lt;&gt;חור",tbLate[שם המאחר],tbEmploDetails[[#This Row],[שם מלא]])</f>
        <v>0</v>
      </c>
      <c r="Y4" s="4">
        <f>COUNTIFS(tbLate[איחור בדק''/חור],"חור",tbLate[שם המאחר],tbEmploDetails[[#This Row],[שם מלא]])</f>
        <v>0</v>
      </c>
      <c r="Z4" s="133" t="str">
        <f>IFERROR(AVERAGEIFS(tbLate[איחור בדק''/חור],tbLate[שם המאחר],tbEmploDetails[[#This Row],[שם מלא]]),"")</f>
        <v/>
      </c>
      <c r="AA4" s="4">
        <f ca="1">COUNTIFS(tbLate[שם המאחר],tbEmploDetails[[#This Row],[שם מלא]],tbLate[תאריך],"&gt;"&amp;months2AgoCell,tbLate[מס''דק''איחור],"&gt;0")</f>
        <v>0</v>
      </c>
      <c r="AB4" s="4">
        <f ca="1">COUNTIFS(tbLate[שם המאחר],tbEmploDetails[[#This Row],[שם מלא]],tbLate[תאריך],"&gt;"&amp;months2AgoCell,tbLate[האם חור],"&gt;0")</f>
        <v>0</v>
      </c>
      <c r="AC4" s="4">
        <f>COUNTIFS(tbPerfReview[מאבטח],tbEmploDetails[[#This Row],[שם מלא]])</f>
        <v>0</v>
      </c>
      <c r="AD4" s="133" t="str">
        <f>IFERROR(AVERAGEIFS(tbPerfReview[ציון],tbPerfReview[מאבטח],tbEmploDetails[[#This Row],[שם מלא]]),"")</f>
        <v/>
      </c>
      <c r="AE4" s="4">
        <f ca="1">COUNTIFS(tbPerfReview[תאריך],"&gt;"&amp;yearAgoCell,tbPerfReview[מאבטח],tbEmploDetails[[#This Row],[שם מלא]])</f>
        <v>0</v>
      </c>
      <c r="AF4" s="133" t="str">
        <f ca="1">IFERROR(AVERAGEIFS(tbPerfReview[ציון],tbPerfReview[מאבטח],tbEmploDetails[[#This Row],[שם מלא]],tbPerfReview[תאריך],"&gt;="&amp;yearAgoCell),"")</f>
        <v/>
      </c>
      <c r="AG4" s="4"/>
      <c r="AH4" s="4">
        <f>COUNTIFS(tbDrills[מאבטח],tbEmploDetails[[#This Row],[שם מלא]])</f>
        <v>0</v>
      </c>
      <c r="AI4" s="4" t="str">
        <f>IFERROR(AVERAGEIFS(tbDrills[ציון],tbDrills[מאבטח],tbEmploDetails[[#This Row],[שם מלא]]),"")</f>
        <v/>
      </c>
      <c r="AJ4" s="4">
        <f ca="1">COUNTIFS(tbDrills[תאריך],"&gt;"&amp;yearAgoCell,tbDrills[מאבטח],tbEmploDetails[[#This Row],[שם מלא]])</f>
        <v>0</v>
      </c>
      <c r="AK4" s="4" t="str">
        <f ca="1">IFERROR(AVERAGEIFS(tbDrills[ציון],tbDrills[מאבטח],tbEmploDetails[[#This Row],[שם מלא]],tbDrills[תאריך],"&gt;="&amp;yearAgoCell),"")</f>
        <v/>
      </c>
      <c r="AL4" t="s">
        <v>660</v>
      </c>
      <c r="AM4" s="370">
        <v>24</v>
      </c>
      <c r="AN4" s="4"/>
      <c r="AO4" s="4"/>
      <c r="AP4" s="4">
        <f>ROW()</f>
        <v>4</v>
      </c>
      <c r="AQ4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אלנבי 24 , ירושלים</v>
      </c>
    </row>
    <row r="5" spans="1:43">
      <c r="A5" s="371" t="s">
        <v>378</v>
      </c>
      <c r="B5" s="371" t="s">
        <v>379</v>
      </c>
      <c r="C5" s="4" t="str">
        <f>TRIM(tbEmploDetails[[#This Row],[שם משפחה]])&amp;" "&amp;TRIM(tbEmploDetails[[#This Row],[שם פרטי]])</f>
        <v>בן דוד מאיה</v>
      </c>
      <c r="D5" t="s">
        <v>462</v>
      </c>
      <c r="E5" t="s">
        <v>522</v>
      </c>
      <c r="F5" t="s">
        <v>564</v>
      </c>
      <c r="G5" t="str">
        <f>TRIM(tbEmploDetails[[#This Row],[כתובת - שם רחוב]]&amp;" "&amp;tbEmploDetails[[#This Row],[כתובת - מס'' רחוב]])</f>
        <v>אבן גבירול 70</v>
      </c>
      <c r="H5" t="s">
        <v>633</v>
      </c>
      <c r="I5" s="49" t="s">
        <v>35</v>
      </c>
      <c r="J5" s="6"/>
      <c r="L5" t="str">
        <f>TRIM(tbEmploDetails[[#This Row],[איש קשר - שם מלא]] &amp; " (" &amp; tbEmploDetails[[#This Row],[איש קשר - טיב קשר]] &amp; ")")</f>
        <v>()</v>
      </c>
      <c r="M5" s="43">
        <v>44392</v>
      </c>
      <c r="N5" s="4">
        <f ca="1">IF(tbEmploDetails[[#This Row],[תאריך תחילת תעסוקה נוכחית]],TODAY()-tbEmploDetails[[#This Row],[תאריך תחילת תעסוקה נוכחית]],"חסר מידע")</f>
        <v>1166</v>
      </c>
      <c r="O5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2 חודשים</v>
      </c>
      <c r="P5" s="49" t="s">
        <v>120</v>
      </c>
      <c r="Q5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נכשל</v>
      </c>
      <c r="R5" s="48">
        <f>MAX(_xlfn.MAXIFS(tbShetchExam[מס'' פעם], tbShetchExam[נבחן],tbEmploDetails[[#This Row],[שם מלא]]))</f>
        <v>1</v>
      </c>
      <c r="S5" t="s">
        <v>41</v>
      </c>
      <c r="T5" t="s">
        <v>43</v>
      </c>
      <c r="U5" t="s">
        <v>93</v>
      </c>
      <c r="V5" s="2">
        <v>45411</v>
      </c>
      <c r="W5" s="4">
        <f ca="1">IF(tbEmploDetails[[#This Row],[תאריך הצ'' בריאות נוכחית]],EDATE(tbEmploDetails[[#This Row],[תאריך הצ'' בריאות נוכחית]],12)-TODAY(),"")</f>
        <v>218</v>
      </c>
      <c r="X5" s="4">
        <f>COUNTIFS(tbLate[איחור בדק''/חור],"&lt;&gt;חור",tbLate[שם המאחר],tbEmploDetails[[#This Row],[שם מלא]])</f>
        <v>1</v>
      </c>
      <c r="Y5" s="4">
        <f>COUNTIFS(tbLate[איחור בדק''/חור],"חור",tbLate[שם המאחר],tbEmploDetails[[#This Row],[שם מלא]])</f>
        <v>1</v>
      </c>
      <c r="Z5" s="133">
        <f>IFERROR(AVERAGEIFS(tbLate[איחור בדק''/חור],tbLate[שם המאחר],tbEmploDetails[[#This Row],[שם מלא]]),"")</f>
        <v>24</v>
      </c>
      <c r="AA5" s="4">
        <f ca="1">COUNTIFS(tbLate[שם המאחר],tbEmploDetails[[#This Row],[שם מלא]],tbLate[תאריך],"&gt;"&amp;months2AgoCell,tbLate[מס''דק''איחור],"&gt;0")</f>
        <v>1</v>
      </c>
      <c r="AB5" s="4">
        <f ca="1">COUNTIFS(tbLate[שם המאחר],tbEmploDetails[[#This Row],[שם מלא]],tbLate[תאריך],"&gt;"&amp;months2AgoCell,tbLate[האם חור],"&gt;0")</f>
        <v>1</v>
      </c>
      <c r="AC5" s="4">
        <f>COUNTIFS(tbPerfReview[מאבטח],tbEmploDetails[[#This Row],[שם מלא]])</f>
        <v>0</v>
      </c>
      <c r="AD5" s="133" t="str">
        <f>IFERROR(AVERAGEIFS(tbPerfReview[ציון],tbPerfReview[מאבטח],tbEmploDetails[[#This Row],[שם מלא]]),"")</f>
        <v/>
      </c>
      <c r="AE5" s="4">
        <f ca="1">COUNTIFS(tbPerfReview[תאריך],"&gt;"&amp;yearAgoCell,tbPerfReview[מאבטח],tbEmploDetails[[#This Row],[שם מלא]])</f>
        <v>0</v>
      </c>
      <c r="AF5" s="133" t="str">
        <f ca="1">IFERROR(AVERAGEIFS(tbPerfReview[ציון],tbPerfReview[מאבטח],tbEmploDetails[[#This Row],[שם מלא]],tbPerfReview[תאריך],"&gt;="&amp;yearAgoCell),"")</f>
        <v/>
      </c>
      <c r="AG5" s="4"/>
      <c r="AH5" s="4">
        <f>COUNTIFS(tbDrills[מאבטח],tbEmploDetails[[#This Row],[שם מלא]])</f>
        <v>1</v>
      </c>
      <c r="AI5" s="4" t="str">
        <f>IFERROR(AVERAGEIFS(tbDrills[ציון],tbDrills[מאבטח],tbEmploDetails[[#This Row],[שם מלא]]),"")</f>
        <v/>
      </c>
      <c r="AJ5" s="4">
        <f ca="1">COUNTIFS(tbDrills[תאריך],"&gt;"&amp;yearAgoCell,tbDrills[מאבטח],tbEmploDetails[[#This Row],[שם מלא]])</f>
        <v>1</v>
      </c>
      <c r="AK5" s="4" t="str">
        <f ca="1">IFERROR(AVERAGEIFS(tbDrills[ציון],tbDrills[מאבטח],tbEmploDetails[[#This Row],[שם מלא]],tbDrills[תאריך],"&gt;="&amp;yearAgoCell),"")</f>
        <v/>
      </c>
      <c r="AL5" t="s">
        <v>661</v>
      </c>
      <c r="AM5" s="370">
        <v>70</v>
      </c>
      <c r="AN5" s="4"/>
      <c r="AO5" s="4"/>
      <c r="AP5" s="4">
        <f>ROW()</f>
        <v>5</v>
      </c>
      <c r="AQ5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אבן גבירול 70 , רמת גן</v>
      </c>
    </row>
    <row r="6" spans="1:43">
      <c r="A6" s="371" t="s">
        <v>380</v>
      </c>
      <c r="B6" s="371" t="s">
        <v>381</v>
      </c>
      <c r="C6" s="4" t="str">
        <f>TRIM(tbEmploDetails[[#This Row],[שם משפחה]])&amp;" "&amp;TRIM(tbEmploDetails[[#This Row],[שם פרטי]])</f>
        <v>רוזן נעם</v>
      </c>
      <c r="D6" t="s">
        <v>463</v>
      </c>
      <c r="E6" t="s">
        <v>523</v>
      </c>
      <c r="F6" t="s">
        <v>565</v>
      </c>
      <c r="G6" t="str">
        <f>TRIM(tbEmploDetails[[#This Row],[כתובת - שם רחוב]]&amp;" "&amp;tbEmploDetails[[#This Row],[כתובת - מס'' רחוב]])</f>
        <v>ביאליק 32</v>
      </c>
      <c r="H6" t="s">
        <v>634</v>
      </c>
      <c r="I6" s="49" t="s">
        <v>35</v>
      </c>
      <c r="J6" s="6"/>
      <c r="L6" t="str">
        <f>TRIM(tbEmploDetails[[#This Row],[איש קשר - שם מלא]] &amp; " (" &amp; tbEmploDetails[[#This Row],[איש קשר - טיב קשר]] &amp; ")")</f>
        <v>()</v>
      </c>
      <c r="M6" s="43">
        <v>42307</v>
      </c>
      <c r="N6" s="4">
        <f ca="1">IF(tbEmploDetails[[#This Row],[תאריך תחילת תעסוקה נוכחית]],TODAY()-tbEmploDetails[[#This Row],[תאריך תחילת תעסוקה נוכחית]],"חסר מידע")</f>
        <v>3251</v>
      </c>
      <c r="O6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10 חודשים</v>
      </c>
      <c r="P6" s="49" t="s">
        <v>120</v>
      </c>
      <c r="Q6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6" s="48">
        <f>MAX(_xlfn.MAXIFS(tbShetchExam[מס'' פעם], tbShetchExam[נבחן],tbEmploDetails[[#This Row],[שם מלא]]))</f>
        <v>0</v>
      </c>
      <c r="S6" t="s">
        <v>40</v>
      </c>
      <c r="T6" t="s">
        <v>42</v>
      </c>
      <c r="U6" t="s">
        <v>338</v>
      </c>
      <c r="V6" s="2">
        <v>45422</v>
      </c>
      <c r="W6" s="4">
        <f ca="1">IF(tbEmploDetails[[#This Row],[תאריך הצ'' בריאות נוכחית]],EDATE(tbEmploDetails[[#This Row],[תאריך הצ'' בריאות נוכחית]],12)-TODAY(),"")</f>
        <v>229</v>
      </c>
      <c r="X6" s="4">
        <f>COUNTIFS(tbLate[איחור בדק''/חור],"&lt;&gt;חור",tbLate[שם המאחר],tbEmploDetails[[#This Row],[שם מלא]])</f>
        <v>0</v>
      </c>
      <c r="Y6" s="4">
        <f>COUNTIFS(tbLate[איחור בדק''/חור],"חור",tbLate[שם המאחר],tbEmploDetails[[#This Row],[שם מלא]])</f>
        <v>0</v>
      </c>
      <c r="Z6" s="133" t="str">
        <f>IFERROR(AVERAGEIFS(tbLate[איחור בדק''/חור],tbLate[שם המאחר],tbEmploDetails[[#This Row],[שם מלא]]),"")</f>
        <v/>
      </c>
      <c r="AA6" s="4">
        <f ca="1">COUNTIFS(tbLate[שם המאחר],tbEmploDetails[[#This Row],[שם מלא]],tbLate[תאריך],"&gt;"&amp;months2AgoCell,tbLate[מס''דק''איחור],"&gt;0")</f>
        <v>0</v>
      </c>
      <c r="AB6" s="4">
        <f ca="1">COUNTIFS(tbLate[שם המאחר],tbEmploDetails[[#This Row],[שם מלא]],tbLate[תאריך],"&gt;"&amp;months2AgoCell,tbLate[האם חור],"&gt;0")</f>
        <v>0</v>
      </c>
      <c r="AC6" s="4">
        <f>COUNTIFS(tbPerfReview[מאבטח],tbEmploDetails[[#This Row],[שם מלא]])</f>
        <v>0</v>
      </c>
      <c r="AD6" s="133" t="str">
        <f>IFERROR(AVERAGEIFS(tbPerfReview[ציון],tbPerfReview[מאבטח],tbEmploDetails[[#This Row],[שם מלא]]),"")</f>
        <v/>
      </c>
      <c r="AE6" s="4">
        <f ca="1">COUNTIFS(tbPerfReview[תאריך],"&gt;"&amp;yearAgoCell,tbPerfReview[מאבטח],tbEmploDetails[[#This Row],[שם מלא]])</f>
        <v>0</v>
      </c>
      <c r="AF6" s="133" t="str">
        <f ca="1">IFERROR(AVERAGEIFS(tbPerfReview[ציון],tbPerfReview[מאבטח],tbEmploDetails[[#This Row],[שם מלא]],tbPerfReview[תאריך],"&gt;="&amp;yearAgoCell),"")</f>
        <v/>
      </c>
      <c r="AG6" s="4"/>
      <c r="AH6" s="4">
        <f>COUNTIFS(tbDrills[מאבטח],tbEmploDetails[[#This Row],[שם מלא]])</f>
        <v>0</v>
      </c>
      <c r="AI6" s="4" t="str">
        <f>IFERROR(AVERAGEIFS(tbDrills[ציון],tbDrills[מאבטח],tbEmploDetails[[#This Row],[שם מלא]]),"")</f>
        <v/>
      </c>
      <c r="AJ6" s="4">
        <f ca="1">COUNTIFS(tbDrills[תאריך],"&gt;"&amp;yearAgoCell,tbDrills[מאבטח],tbEmploDetails[[#This Row],[שם מלא]])</f>
        <v>0</v>
      </c>
      <c r="AK6" s="4" t="str">
        <f ca="1">IFERROR(AVERAGEIFS(tbDrills[ציון],tbDrills[מאבטח],tbEmploDetails[[#This Row],[שם מלא]],tbDrills[תאריך],"&gt;="&amp;yearAgoCell),"")</f>
        <v/>
      </c>
      <c r="AL6" t="s">
        <v>662</v>
      </c>
      <c r="AM6" s="370">
        <v>32</v>
      </c>
      <c r="AN6" s="4"/>
      <c r="AO6" s="4"/>
      <c r="AP6" s="4">
        <f>ROW()</f>
        <v>6</v>
      </c>
      <c r="AQ6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ביאליק 32 , כפר סבא</v>
      </c>
    </row>
    <row r="7" spans="1:43">
      <c r="A7" s="371" t="s">
        <v>111</v>
      </c>
      <c r="B7" s="371" t="s">
        <v>382</v>
      </c>
      <c r="C7" s="4" t="str">
        <f>TRIM(tbEmploDetails[[#This Row],[שם משפחה]])&amp;" "&amp;TRIM(tbEmploDetails[[#This Row],[שם פרטי]])</f>
        <v>מזרחי יעל</v>
      </c>
      <c r="D7" t="s">
        <v>464</v>
      </c>
      <c r="E7" t="s">
        <v>524</v>
      </c>
      <c r="F7" t="s">
        <v>566</v>
      </c>
      <c r="G7" t="str">
        <f>TRIM(tbEmploDetails[[#This Row],[כתובת - שם רחוב]]&amp;" "&amp;tbEmploDetails[[#This Row],[כתובת - מס'' רחוב]])</f>
        <v>יפו 88</v>
      </c>
      <c r="H7" t="s">
        <v>630</v>
      </c>
      <c r="I7" s="49" t="s">
        <v>36</v>
      </c>
      <c r="J7" s="6"/>
      <c r="L7" t="str">
        <f>TRIM(tbEmploDetails[[#This Row],[איש קשר - שם מלא]] &amp; " (" &amp; tbEmploDetails[[#This Row],[איש קשר - טיב קשר]] &amp; ")")</f>
        <v>()</v>
      </c>
      <c r="M7" s="43">
        <v>42388</v>
      </c>
      <c r="N7" s="4">
        <f ca="1">IF(tbEmploDetails[[#This Row],[תאריך תחילת תעסוקה נוכחית]],TODAY()-tbEmploDetails[[#This Row],[תאריך תחילת תעסוקה נוכחית]],"חסר מידע")</f>
        <v>3170</v>
      </c>
      <c r="O7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8 חודשים</v>
      </c>
      <c r="P7" s="49" t="s">
        <v>272</v>
      </c>
      <c r="Q7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7" s="48">
        <f>MAX(_xlfn.MAXIFS(tbShetchExam[מס'' פעם], tbShetchExam[נבחן],tbEmploDetails[[#This Row],[שם מלא]]))</f>
        <v>0</v>
      </c>
      <c r="S7" t="s">
        <v>40</v>
      </c>
      <c r="T7" t="s">
        <v>42</v>
      </c>
      <c r="U7" t="s">
        <v>93</v>
      </c>
      <c r="V7" s="2">
        <v>45461</v>
      </c>
      <c r="W7" s="4">
        <f ca="1">IF(tbEmploDetails[[#This Row],[תאריך הצ'' בריאות נוכחית]],EDATE(tbEmploDetails[[#This Row],[תאריך הצ'' בריאות נוכחית]],12)-TODAY(),"")</f>
        <v>268</v>
      </c>
      <c r="X7" s="4">
        <f>COUNTIFS(tbLate[איחור בדק''/חור],"&lt;&gt;חור",tbLate[שם המאחר],tbEmploDetails[[#This Row],[שם מלא]])</f>
        <v>0</v>
      </c>
      <c r="Y7" s="4">
        <f>COUNTIFS(tbLate[איחור בדק''/חור],"חור",tbLate[שם המאחר],tbEmploDetails[[#This Row],[שם מלא]])</f>
        <v>0</v>
      </c>
      <c r="Z7" s="133" t="str">
        <f>IFERROR(AVERAGEIFS(tbLate[איחור בדק''/חור],tbLate[שם המאחר],tbEmploDetails[[#This Row],[שם מלא]]),"")</f>
        <v/>
      </c>
      <c r="AA7" s="4">
        <f ca="1">COUNTIFS(tbLate[שם המאחר],tbEmploDetails[[#This Row],[שם מלא]],tbLate[תאריך],"&gt;"&amp;months2AgoCell,tbLate[מס''דק''איחור],"&gt;0")</f>
        <v>0</v>
      </c>
      <c r="AB7" s="4">
        <f ca="1">COUNTIFS(tbLate[שם המאחר],tbEmploDetails[[#This Row],[שם מלא]],tbLate[תאריך],"&gt;"&amp;months2AgoCell,tbLate[האם חור],"&gt;0")</f>
        <v>0</v>
      </c>
      <c r="AC7" s="4">
        <f>COUNTIFS(tbPerfReview[מאבטח],tbEmploDetails[[#This Row],[שם מלא]])</f>
        <v>0</v>
      </c>
      <c r="AD7" s="133" t="str">
        <f>IFERROR(AVERAGEIFS(tbPerfReview[ציון],tbPerfReview[מאבטח],tbEmploDetails[[#This Row],[שם מלא]]),"")</f>
        <v/>
      </c>
      <c r="AE7" s="4">
        <f ca="1">COUNTIFS(tbPerfReview[תאריך],"&gt;"&amp;yearAgoCell,tbPerfReview[מאבטח],tbEmploDetails[[#This Row],[שם מלא]])</f>
        <v>0</v>
      </c>
      <c r="AF7" s="133" t="str">
        <f ca="1">IFERROR(AVERAGEIFS(tbPerfReview[ציון],tbPerfReview[מאבטח],tbEmploDetails[[#This Row],[שם מלא]],tbPerfReview[תאריך],"&gt;="&amp;yearAgoCell),"")</f>
        <v/>
      </c>
      <c r="AG7" s="4"/>
      <c r="AH7" s="4">
        <f>COUNTIFS(tbDrills[מאבטח],tbEmploDetails[[#This Row],[שם מלא]])</f>
        <v>0</v>
      </c>
      <c r="AI7" s="4" t="str">
        <f>IFERROR(AVERAGEIFS(tbDrills[ציון],tbDrills[מאבטח],tbEmploDetails[[#This Row],[שם מלא]]),"")</f>
        <v/>
      </c>
      <c r="AJ7" s="4">
        <f ca="1">COUNTIFS(tbDrills[תאריך],"&gt;"&amp;yearAgoCell,tbDrills[מאבטח],tbEmploDetails[[#This Row],[שם מלא]])</f>
        <v>0</v>
      </c>
      <c r="AK7" s="4" t="str">
        <f ca="1">IFERROR(AVERAGEIFS(tbDrills[ציון],tbDrills[מאבטח],tbEmploDetails[[#This Row],[שם מלא]],tbDrills[תאריך],"&gt;="&amp;yearAgoCell),"")</f>
        <v/>
      </c>
      <c r="AL7" t="s">
        <v>663</v>
      </c>
      <c r="AM7" s="370">
        <v>88</v>
      </c>
      <c r="AN7" s="4"/>
      <c r="AO7" s="4"/>
      <c r="AP7" s="4">
        <f>ROW()</f>
        <v>7</v>
      </c>
      <c r="AQ7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יפו 88 , תל אביב</v>
      </c>
    </row>
    <row r="8" spans="1:43">
      <c r="A8" s="371" t="s">
        <v>383</v>
      </c>
      <c r="B8" s="371" t="s">
        <v>384</v>
      </c>
      <c r="C8" s="4" t="str">
        <f>TRIM(tbEmploDetails[[#This Row],[שם משפחה]])&amp;" "&amp;TRIM(tbEmploDetails[[#This Row],[שם פרטי]])</f>
        <v>גרין איתי</v>
      </c>
      <c r="D8" t="s">
        <v>465</v>
      </c>
      <c r="E8" t="s">
        <v>525</v>
      </c>
      <c r="F8" t="s">
        <v>567</v>
      </c>
      <c r="G8" t="str">
        <f>TRIM(tbEmploDetails[[#This Row],[כתובת - שם רחוב]]&amp;" "&amp;tbEmploDetails[[#This Row],[כתובת - מס'' רחוב]])</f>
        <v>בורוכוב 7</v>
      </c>
      <c r="H8" t="s">
        <v>635</v>
      </c>
      <c r="I8" s="49" t="s">
        <v>35</v>
      </c>
      <c r="J8" s="6"/>
      <c r="L8" t="str">
        <f>TRIM(tbEmploDetails[[#This Row],[איש קשר - שם מלא]] &amp; " (" &amp; tbEmploDetails[[#This Row],[איש קשר - טיב קשר]] &amp; ")")</f>
        <v>()</v>
      </c>
      <c r="M8" s="43">
        <v>43711</v>
      </c>
      <c r="N8" s="4">
        <f ca="1">IF(tbEmploDetails[[#This Row],[תאריך תחילת תעסוקה נוכחית]],TODAY()-tbEmploDetails[[#This Row],[תאריך תחילת תעסוקה נוכחית]],"חסר מידע")</f>
        <v>1847</v>
      </c>
      <c r="O8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5 שנים, 15 ימים</v>
      </c>
      <c r="P8" s="49" t="s">
        <v>120</v>
      </c>
      <c r="Q8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8" s="48">
        <f>MAX(_xlfn.MAXIFS(tbShetchExam[מס'' פעם], tbShetchExam[נבחן],tbEmploDetails[[#This Row],[שם מלא]]))</f>
        <v>0</v>
      </c>
      <c r="S8" t="s">
        <v>40</v>
      </c>
      <c r="T8" t="s">
        <v>42</v>
      </c>
      <c r="U8" t="s">
        <v>93</v>
      </c>
      <c r="V8" s="2">
        <v>45476</v>
      </c>
      <c r="W8" s="4">
        <f ca="1">IF(tbEmploDetails[[#This Row],[תאריך הצ'' בריאות נוכחית]],EDATE(tbEmploDetails[[#This Row],[תאריך הצ'' בריאות נוכחית]],12)-TODAY(),"")</f>
        <v>283</v>
      </c>
      <c r="X8" s="4">
        <f>COUNTIFS(tbLate[איחור בדק''/חור],"&lt;&gt;חור",tbLate[שם המאחר],tbEmploDetails[[#This Row],[שם מלא]])</f>
        <v>0</v>
      </c>
      <c r="Y8" s="4">
        <f>COUNTIFS(tbLate[איחור בדק''/חור],"חור",tbLate[שם המאחר],tbEmploDetails[[#This Row],[שם מלא]])</f>
        <v>0</v>
      </c>
      <c r="Z8" s="133" t="str">
        <f>IFERROR(AVERAGEIFS(tbLate[איחור בדק''/חור],tbLate[שם המאחר],tbEmploDetails[[#This Row],[שם מלא]]),"")</f>
        <v/>
      </c>
      <c r="AA8" s="4">
        <f ca="1">COUNTIFS(tbLate[שם המאחר],tbEmploDetails[[#This Row],[שם מלא]],tbLate[תאריך],"&gt;"&amp;months2AgoCell,tbLate[מס''דק''איחור],"&gt;0")</f>
        <v>0</v>
      </c>
      <c r="AB8" s="4">
        <f ca="1">COUNTIFS(tbLate[שם המאחר],tbEmploDetails[[#This Row],[שם מלא]],tbLate[תאריך],"&gt;"&amp;months2AgoCell,tbLate[האם חור],"&gt;0")</f>
        <v>0</v>
      </c>
      <c r="AC8" s="4">
        <f>COUNTIFS(tbPerfReview[מאבטח],tbEmploDetails[[#This Row],[שם מלא]])</f>
        <v>0</v>
      </c>
      <c r="AD8" s="133" t="str">
        <f>IFERROR(AVERAGEIFS(tbPerfReview[ציון],tbPerfReview[מאבטח],tbEmploDetails[[#This Row],[שם מלא]]),"")</f>
        <v/>
      </c>
      <c r="AE8" s="4">
        <f ca="1">COUNTIFS(tbPerfReview[תאריך],"&gt;"&amp;yearAgoCell,tbPerfReview[מאבטח],tbEmploDetails[[#This Row],[שם מלא]])</f>
        <v>0</v>
      </c>
      <c r="AF8" s="133" t="str">
        <f ca="1">IFERROR(AVERAGEIFS(tbPerfReview[ציון],tbPerfReview[מאבטח],tbEmploDetails[[#This Row],[שם מלא]],tbPerfReview[תאריך],"&gt;="&amp;yearAgoCell),"")</f>
        <v/>
      </c>
      <c r="AG8" s="4"/>
      <c r="AH8" s="4">
        <f>COUNTIFS(tbDrills[מאבטח],tbEmploDetails[[#This Row],[שם מלא]])</f>
        <v>0</v>
      </c>
      <c r="AI8" s="4" t="str">
        <f>IFERROR(AVERAGEIFS(tbDrills[ציון],tbDrills[מאבטח],tbEmploDetails[[#This Row],[שם מלא]]),"")</f>
        <v/>
      </c>
      <c r="AJ8" s="4">
        <f ca="1">COUNTIFS(tbDrills[תאריך],"&gt;"&amp;yearAgoCell,tbDrills[מאבטח],tbEmploDetails[[#This Row],[שם מלא]])</f>
        <v>0</v>
      </c>
      <c r="AK8" s="4" t="str">
        <f ca="1">IFERROR(AVERAGEIFS(tbDrills[ציון],tbDrills[מאבטח],tbEmploDetails[[#This Row],[שם מלא]],tbDrills[תאריך],"&gt;="&amp;yearAgoCell),"")</f>
        <v/>
      </c>
      <c r="AL8" t="s">
        <v>360</v>
      </c>
      <c r="AM8" s="370">
        <v>7</v>
      </c>
      <c r="AN8" s="4"/>
      <c r="AO8" s="4"/>
      <c r="AP8" s="4">
        <f>ROW()</f>
        <v>8</v>
      </c>
      <c r="AQ8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בורוכוב 7 , באר שבע</v>
      </c>
    </row>
    <row r="9" spans="1:43">
      <c r="A9" s="371" t="s">
        <v>385</v>
      </c>
      <c r="B9" s="371" t="s">
        <v>386</v>
      </c>
      <c r="C9" s="4" t="str">
        <f>TRIM(tbEmploDetails[[#This Row],[שם משפחה]])&amp;" "&amp;TRIM(tbEmploDetails[[#This Row],[שם פרטי]])</f>
        <v>פרידמן רונית</v>
      </c>
      <c r="D9" t="s">
        <v>466</v>
      </c>
      <c r="E9" t="s">
        <v>526</v>
      </c>
      <c r="F9" t="s">
        <v>568</v>
      </c>
      <c r="G9" t="str">
        <f>TRIM(tbEmploDetails[[#This Row],[כתובת - שם רחוב]]&amp;" "&amp;tbEmploDetails[[#This Row],[כתובת - מס'' רחוב]])</f>
        <v>ארלוזורוב 60</v>
      </c>
      <c r="H9" t="s">
        <v>636</v>
      </c>
      <c r="I9" s="49" t="s">
        <v>35</v>
      </c>
      <c r="J9" s="6"/>
      <c r="L9" t="str">
        <f>TRIM(tbEmploDetails[[#This Row],[איש קשר - שם מלא]] &amp; " (" &amp; tbEmploDetails[[#This Row],[איש קשר - טיב קשר]] &amp; ")")</f>
        <v>()</v>
      </c>
      <c r="M9" s="43">
        <v>41754</v>
      </c>
      <c r="N9" s="4">
        <f ca="1">IF(tbEmploDetails[[#This Row],[תאריך תחילת תעסוקה נוכחית]],TODAY()-tbEmploDetails[[#This Row],[תאריך תחילת תעסוקה נוכחית]],"חסר מידע")</f>
        <v>3804</v>
      </c>
      <c r="O9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10 שנים, 4 חודשים</v>
      </c>
      <c r="P9" s="49" t="s">
        <v>120</v>
      </c>
      <c r="Q9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9" s="48">
        <f>MAX(_xlfn.MAXIFS(tbShetchExam[מס'' פעם], tbShetchExam[נבחן],tbEmploDetails[[#This Row],[שם מלא]]))</f>
        <v>0</v>
      </c>
      <c r="S9" t="s">
        <v>41</v>
      </c>
      <c r="T9" t="s">
        <v>43</v>
      </c>
      <c r="U9" t="s">
        <v>98</v>
      </c>
      <c r="V9" s="2">
        <v>45529</v>
      </c>
      <c r="W9" s="4">
        <f ca="1">IF(tbEmploDetails[[#This Row],[תאריך הצ'' בריאות נוכחית]],EDATE(tbEmploDetails[[#This Row],[תאריך הצ'' בריאות נוכחית]],12)-TODAY(),"")</f>
        <v>336</v>
      </c>
      <c r="X9" s="4">
        <f>COUNTIFS(tbLate[איחור בדק''/חור],"&lt;&gt;חור",tbLate[שם המאחר],tbEmploDetails[[#This Row],[שם מלא]])</f>
        <v>0</v>
      </c>
      <c r="Y9" s="4">
        <f>COUNTIFS(tbLate[איחור בדק''/חור],"חור",tbLate[שם המאחר],tbEmploDetails[[#This Row],[שם מלא]])</f>
        <v>0</v>
      </c>
      <c r="Z9" s="133" t="str">
        <f>IFERROR(AVERAGEIFS(tbLate[איחור בדק''/חור],tbLate[שם המאחר],tbEmploDetails[[#This Row],[שם מלא]]),"")</f>
        <v/>
      </c>
      <c r="AA9" s="4">
        <f ca="1">COUNTIFS(tbLate[שם המאחר],tbEmploDetails[[#This Row],[שם מלא]],tbLate[תאריך],"&gt;"&amp;months2AgoCell,tbLate[מס''דק''איחור],"&gt;0")</f>
        <v>0</v>
      </c>
      <c r="AB9" s="4">
        <f ca="1">COUNTIFS(tbLate[שם המאחר],tbEmploDetails[[#This Row],[שם מלא]],tbLate[תאריך],"&gt;"&amp;months2AgoCell,tbLate[האם חור],"&gt;0")</f>
        <v>0</v>
      </c>
      <c r="AC9" s="4">
        <f>COUNTIFS(tbPerfReview[מאבטח],tbEmploDetails[[#This Row],[שם מלא]])</f>
        <v>0</v>
      </c>
      <c r="AD9" s="133" t="str">
        <f>IFERROR(AVERAGEIFS(tbPerfReview[ציון],tbPerfReview[מאבטח],tbEmploDetails[[#This Row],[שם מלא]]),"")</f>
        <v/>
      </c>
      <c r="AE9" s="4">
        <f ca="1">COUNTIFS(tbPerfReview[תאריך],"&gt;"&amp;yearAgoCell,tbPerfReview[מאבטח],tbEmploDetails[[#This Row],[שם מלא]])</f>
        <v>0</v>
      </c>
      <c r="AF9" s="133" t="str">
        <f ca="1">IFERROR(AVERAGEIFS(tbPerfReview[ציון],tbPerfReview[מאבטח],tbEmploDetails[[#This Row],[שם מלא]],tbPerfReview[תאריך],"&gt;="&amp;yearAgoCell),"")</f>
        <v/>
      </c>
      <c r="AG9" s="4"/>
      <c r="AH9" s="4">
        <f>COUNTIFS(tbDrills[מאבטח],tbEmploDetails[[#This Row],[שם מלא]])</f>
        <v>0</v>
      </c>
      <c r="AI9" s="4" t="str">
        <f>IFERROR(AVERAGEIFS(tbDrills[ציון],tbDrills[מאבטח],tbEmploDetails[[#This Row],[שם מלא]]),"")</f>
        <v/>
      </c>
      <c r="AJ9" s="4">
        <f ca="1">COUNTIFS(tbDrills[תאריך],"&gt;"&amp;yearAgoCell,tbDrills[מאבטח],tbEmploDetails[[#This Row],[שם מלא]])</f>
        <v>0</v>
      </c>
      <c r="AK9" s="4" t="str">
        <f ca="1">IFERROR(AVERAGEIFS(tbDrills[ציון],tbDrills[מאבטח],tbEmploDetails[[#This Row],[שם מלא]],tbDrills[תאריך],"&gt;="&amp;yearAgoCell),"")</f>
        <v/>
      </c>
      <c r="AL9" t="s">
        <v>664</v>
      </c>
      <c r="AM9" s="370">
        <v>60</v>
      </c>
      <c r="AN9" s="4"/>
      <c r="AO9" s="4"/>
      <c r="AP9" s="4">
        <f>ROW()</f>
        <v>9</v>
      </c>
      <c r="AQ9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ארלוזורוב 60 , ראשון לציון</v>
      </c>
    </row>
    <row r="10" spans="1:43">
      <c r="A10" s="371" t="s">
        <v>387</v>
      </c>
      <c r="B10" s="371" t="s">
        <v>106</v>
      </c>
      <c r="C10" s="4" t="str">
        <f>TRIM(tbEmploDetails[[#This Row],[שם משפחה]])&amp;" "&amp;TRIM(tbEmploDetails[[#This Row],[שם פרטי]])</f>
        <v>ברק אילן</v>
      </c>
      <c r="D10" t="s">
        <v>467</v>
      </c>
      <c r="E10" t="s">
        <v>527</v>
      </c>
      <c r="F10" t="s">
        <v>569</v>
      </c>
      <c r="G10" t="str">
        <f>TRIM(tbEmploDetails[[#This Row],[כתובת - שם רחוב]]&amp;" "&amp;tbEmploDetails[[#This Row],[כתובת - מס'' רחוב]])</f>
        <v>קפלן 25</v>
      </c>
      <c r="H10" t="s">
        <v>637</v>
      </c>
      <c r="I10" s="49" t="s">
        <v>36</v>
      </c>
      <c r="J10" s="6"/>
      <c r="L10" t="str">
        <f>TRIM(tbEmploDetails[[#This Row],[איש קשר - שם מלא]] &amp; " (" &amp; tbEmploDetails[[#This Row],[איש קשר - טיב קשר]] &amp; ")")</f>
        <v>()</v>
      </c>
      <c r="M10" s="43">
        <v>44901</v>
      </c>
      <c r="N10" s="4">
        <f ca="1">IF(tbEmploDetails[[#This Row],[תאריך תחילת תעסוקה נוכחית]],TODAY()-tbEmploDetails[[#This Row],[תאריך תחילת תעסוקה נוכחית]],"חסר מידע")</f>
        <v>657</v>
      </c>
      <c r="O10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 שנים, 9 חודשים</v>
      </c>
      <c r="P10" s="49" t="s">
        <v>120</v>
      </c>
      <c r="Q10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10" s="48">
        <f>MAX(_xlfn.MAXIFS(tbShetchExam[מס'' פעם], tbShetchExam[נבחן],tbEmploDetails[[#This Row],[שם מלא]]))</f>
        <v>0</v>
      </c>
      <c r="S10" t="s">
        <v>40</v>
      </c>
      <c r="T10" t="s">
        <v>42</v>
      </c>
      <c r="U10" t="s">
        <v>93</v>
      </c>
      <c r="V10" s="2">
        <v>45571</v>
      </c>
      <c r="W10" s="4">
        <f ca="1">IF(tbEmploDetails[[#This Row],[תאריך הצ'' בריאות נוכחית]],EDATE(tbEmploDetails[[#This Row],[תאריך הצ'' בריאות נוכחית]],12)-TODAY(),"")</f>
        <v>378</v>
      </c>
      <c r="X10" s="4">
        <f>COUNTIFS(tbLate[איחור בדק''/חור],"&lt;&gt;חור",tbLate[שם המאחר],tbEmploDetails[[#This Row],[שם מלא]])</f>
        <v>0</v>
      </c>
      <c r="Y10" s="4">
        <f>COUNTIFS(tbLate[איחור בדק''/חור],"חור",tbLate[שם המאחר],tbEmploDetails[[#This Row],[שם מלא]])</f>
        <v>0</v>
      </c>
      <c r="Z10" s="133" t="str">
        <f>IFERROR(AVERAGEIFS(tbLate[איחור בדק''/חור],tbLate[שם המאחר],tbEmploDetails[[#This Row],[שם מלא]]),"")</f>
        <v/>
      </c>
      <c r="AA10" s="4">
        <f ca="1">COUNTIFS(tbLate[שם המאחר],tbEmploDetails[[#This Row],[שם מלא]],tbLate[תאריך],"&gt;"&amp;months2AgoCell,tbLate[מס''דק''איחור],"&gt;0")</f>
        <v>0</v>
      </c>
      <c r="AB10" s="4">
        <f ca="1">COUNTIFS(tbLate[שם המאחר],tbEmploDetails[[#This Row],[שם מלא]],tbLate[תאריך],"&gt;"&amp;months2AgoCell,tbLate[האם חור],"&gt;0")</f>
        <v>0</v>
      </c>
      <c r="AC10" s="4">
        <f>COUNTIFS(tbPerfReview[מאבטח],tbEmploDetails[[#This Row],[שם מלא]])</f>
        <v>0</v>
      </c>
      <c r="AD10" s="133" t="str">
        <f>IFERROR(AVERAGEIFS(tbPerfReview[ציון],tbPerfReview[מאבטח],tbEmploDetails[[#This Row],[שם מלא]]),"")</f>
        <v/>
      </c>
      <c r="AE10" s="4">
        <f ca="1">COUNTIFS(tbPerfReview[תאריך],"&gt;"&amp;yearAgoCell,tbPerfReview[מאבטח],tbEmploDetails[[#This Row],[שם מלא]])</f>
        <v>0</v>
      </c>
      <c r="AF10" s="133" t="str">
        <f ca="1">IFERROR(AVERAGEIFS(tbPerfReview[ציון],tbPerfReview[מאבטח],tbEmploDetails[[#This Row],[שם מלא]],tbPerfReview[תאריך],"&gt;="&amp;yearAgoCell),"")</f>
        <v/>
      </c>
      <c r="AG10" s="4"/>
      <c r="AH10" s="4">
        <f>COUNTIFS(tbDrills[מאבטח],tbEmploDetails[[#This Row],[שם מלא]])</f>
        <v>0</v>
      </c>
      <c r="AI10" s="4" t="str">
        <f>IFERROR(AVERAGEIFS(tbDrills[ציון],tbDrills[מאבטח],tbEmploDetails[[#This Row],[שם מלא]]),"")</f>
        <v/>
      </c>
      <c r="AJ10" s="4">
        <f ca="1">COUNTIFS(tbDrills[תאריך],"&gt;"&amp;yearAgoCell,tbDrills[מאבטח],tbEmploDetails[[#This Row],[שם מלא]])</f>
        <v>0</v>
      </c>
      <c r="AK10" s="4" t="str">
        <f ca="1">IFERROR(AVERAGEIFS(tbDrills[ציון],tbDrills[מאבטח],tbEmploDetails[[#This Row],[שם מלא]],tbDrills[תאריך],"&gt;="&amp;yearAgoCell),"")</f>
        <v/>
      </c>
      <c r="AL10" t="s">
        <v>405</v>
      </c>
      <c r="AM10" s="370">
        <v>25</v>
      </c>
      <c r="AN10" s="4"/>
      <c r="AO10" s="4"/>
      <c r="AP10" s="4">
        <f>ROW()</f>
        <v>10</v>
      </c>
      <c r="AQ10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קפלן 25 , פתח תקווה</v>
      </c>
    </row>
    <row r="11" spans="1:43">
      <c r="A11" s="371" t="s">
        <v>388</v>
      </c>
      <c r="B11" s="371" t="s">
        <v>359</v>
      </c>
      <c r="C11" s="4" t="str">
        <f>TRIM(tbEmploDetails[[#This Row],[שם משפחה]])&amp;" "&amp;TRIM(tbEmploDetails[[#This Row],[שם פרטי]])</f>
        <v>גולדשטיין יאיר</v>
      </c>
      <c r="D11" t="s">
        <v>468</v>
      </c>
      <c r="E11" t="s">
        <v>528</v>
      </c>
      <c r="F11" t="s">
        <v>570</v>
      </c>
      <c r="G11" t="str">
        <f>TRIM(tbEmploDetails[[#This Row],[כתובת - שם רחוב]]&amp;" "&amp;tbEmploDetails[[#This Row],[כתובת - מס'' רחוב]])</f>
        <v>העצמאות 99</v>
      </c>
      <c r="H11" t="s">
        <v>638</v>
      </c>
      <c r="I11" s="49" t="s">
        <v>35</v>
      </c>
      <c r="J11" s="6"/>
      <c r="L11" t="str">
        <f>TRIM(tbEmploDetails[[#This Row],[איש קשר - שם מלא]] &amp; " (" &amp; tbEmploDetails[[#This Row],[איש קשר - טיב קשר]] &amp; ")")</f>
        <v>()</v>
      </c>
      <c r="M11" s="43">
        <v>42611</v>
      </c>
      <c r="N11" s="4">
        <f ca="1">IF(tbEmploDetails[[#This Row],[תאריך תחילת תעסוקה נוכחית]],TODAY()-tbEmploDetails[[#This Row],[תאריך תחילת תעסוקה נוכחית]],"חסר מידע")</f>
        <v>2947</v>
      </c>
      <c r="O11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4 ימים</v>
      </c>
      <c r="P11" s="49" t="s">
        <v>120</v>
      </c>
      <c r="Q11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11" s="48">
        <f>MAX(_xlfn.MAXIFS(tbShetchExam[מס'' פעם], tbShetchExam[נבחן],tbEmploDetails[[#This Row],[שם מלא]]))</f>
        <v>0</v>
      </c>
      <c r="S11" t="s">
        <v>40</v>
      </c>
      <c r="T11" t="s">
        <v>42</v>
      </c>
      <c r="U11" t="s">
        <v>99</v>
      </c>
      <c r="V11" s="2">
        <v>45610</v>
      </c>
      <c r="W11" s="4">
        <f ca="1">IF(tbEmploDetails[[#This Row],[תאריך הצ'' בריאות נוכחית]],EDATE(tbEmploDetails[[#This Row],[תאריך הצ'' בריאות נוכחית]],12)-TODAY(),"")</f>
        <v>417</v>
      </c>
      <c r="X11" s="4">
        <f>COUNTIFS(tbLate[איחור בדק''/חור],"&lt;&gt;חור",tbLate[שם המאחר],tbEmploDetails[[#This Row],[שם מלא]])</f>
        <v>0</v>
      </c>
      <c r="Y11" s="4">
        <f>COUNTIFS(tbLate[איחור בדק''/חור],"חור",tbLate[שם המאחר],tbEmploDetails[[#This Row],[שם מלא]])</f>
        <v>0</v>
      </c>
      <c r="Z11" s="133" t="str">
        <f>IFERROR(AVERAGEIFS(tbLate[איחור בדק''/חור],tbLate[שם המאחר],tbEmploDetails[[#This Row],[שם מלא]]),"")</f>
        <v/>
      </c>
      <c r="AA11" s="4">
        <f ca="1">COUNTIFS(tbLate[שם המאחר],tbEmploDetails[[#This Row],[שם מלא]],tbLate[תאריך],"&gt;"&amp;months2AgoCell,tbLate[מס''דק''איחור],"&gt;0")</f>
        <v>0</v>
      </c>
      <c r="AB11" s="4">
        <f ca="1">COUNTIFS(tbLate[שם המאחר],tbEmploDetails[[#This Row],[שם מלא]],tbLate[תאריך],"&gt;"&amp;months2AgoCell,tbLate[האם חור],"&gt;0")</f>
        <v>0</v>
      </c>
      <c r="AC11" s="4">
        <f>COUNTIFS(tbPerfReview[מאבטח],tbEmploDetails[[#This Row],[שם מלא]])</f>
        <v>0</v>
      </c>
      <c r="AD11" s="133" t="str">
        <f>IFERROR(AVERAGEIFS(tbPerfReview[ציון],tbPerfReview[מאבטח],tbEmploDetails[[#This Row],[שם מלא]]),"")</f>
        <v/>
      </c>
      <c r="AE11" s="4">
        <f ca="1">COUNTIFS(tbPerfReview[תאריך],"&gt;"&amp;yearAgoCell,tbPerfReview[מאבטח],tbEmploDetails[[#This Row],[שם מלא]])</f>
        <v>0</v>
      </c>
      <c r="AF11" s="133" t="str">
        <f ca="1">IFERROR(AVERAGEIFS(tbPerfReview[ציון],tbPerfReview[מאבטח],tbEmploDetails[[#This Row],[שם מלא]],tbPerfReview[תאריך],"&gt;="&amp;yearAgoCell),"")</f>
        <v/>
      </c>
      <c r="AG11" s="4"/>
      <c r="AH11" s="4">
        <f>COUNTIFS(tbDrills[מאבטח],tbEmploDetails[[#This Row],[שם מלא]])</f>
        <v>0</v>
      </c>
      <c r="AI11" s="4" t="str">
        <f>IFERROR(AVERAGEIFS(tbDrills[ציון],tbDrills[מאבטח],tbEmploDetails[[#This Row],[שם מלא]]),"")</f>
        <v/>
      </c>
      <c r="AJ11" s="4">
        <f ca="1">COUNTIFS(tbDrills[תאריך],"&gt;"&amp;yearAgoCell,tbDrills[מאבטח],tbEmploDetails[[#This Row],[שם מלא]])</f>
        <v>0</v>
      </c>
      <c r="AK11" s="4" t="str">
        <f ca="1">IFERROR(AVERAGEIFS(tbDrills[ציון],tbDrills[מאבטח],tbEmploDetails[[#This Row],[שם מלא]],tbDrills[תאריך],"&gt;="&amp;yearAgoCell),"")</f>
        <v/>
      </c>
      <c r="AL11" t="s">
        <v>665</v>
      </c>
      <c r="AM11" s="370">
        <v>99</v>
      </c>
      <c r="AN11" s="4"/>
      <c r="AO11" s="4"/>
      <c r="AP11" s="4">
        <f>ROW()</f>
        <v>11</v>
      </c>
      <c r="AQ11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העצמאות 99 , נתניה</v>
      </c>
    </row>
    <row r="12" spans="1:43">
      <c r="A12" s="371" t="s">
        <v>389</v>
      </c>
      <c r="B12" s="371" t="s">
        <v>390</v>
      </c>
      <c r="C12" s="4" t="str">
        <f>TRIM(tbEmploDetails[[#This Row],[שם משפחה]])&amp;" "&amp;TRIM(tbEmploDetails[[#This Row],[שם פרטי]])</f>
        <v>רובין תמר</v>
      </c>
      <c r="D12" t="s">
        <v>469</v>
      </c>
      <c r="E12" t="s">
        <v>529</v>
      </c>
      <c r="F12" t="s">
        <v>571</v>
      </c>
      <c r="G12" t="str">
        <f>TRIM(tbEmploDetails[[#This Row],[כתובת - שם רחוב]]&amp;" "&amp;tbEmploDetails[[#This Row],[כתובת - מס'' רחוב]])</f>
        <v>ברנר 14</v>
      </c>
      <c r="H12" t="s">
        <v>631</v>
      </c>
      <c r="I12" s="49" t="s">
        <v>36</v>
      </c>
      <c r="J12" s="6"/>
      <c r="L12" t="str">
        <f>TRIM(tbEmploDetails[[#This Row],[איש קשר - שם מלא]] &amp; " (" &amp; tbEmploDetails[[#This Row],[איש קשר - טיב קשר]] &amp; ")")</f>
        <v>()</v>
      </c>
      <c r="M12" s="43">
        <v>43232</v>
      </c>
      <c r="N12" s="4">
        <f ca="1">IF(tbEmploDetails[[#This Row],[תאריך תחילת תעסוקה נוכחית]],TODAY()-tbEmploDetails[[#This Row],[תאריך תחילת תעסוקה נוכחית]],"חסר מידע")</f>
        <v>2326</v>
      </c>
      <c r="O12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6 שנים, 4 חודשים</v>
      </c>
      <c r="P12" s="49" t="s">
        <v>120</v>
      </c>
      <c r="Q12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12" s="48">
        <f>MAX(_xlfn.MAXIFS(tbShetchExam[מס'' פעם], tbShetchExam[נבחן],tbEmploDetails[[#This Row],[שם מלא]]))</f>
        <v>0</v>
      </c>
      <c r="S12" t="s">
        <v>40</v>
      </c>
      <c r="T12" t="s">
        <v>42</v>
      </c>
      <c r="U12" t="s">
        <v>93</v>
      </c>
      <c r="V12" s="2">
        <v>45298</v>
      </c>
      <c r="W12" s="4">
        <f ca="1">IF(tbEmploDetails[[#This Row],[תאריך הצ'' בריאות נוכחית]],EDATE(tbEmploDetails[[#This Row],[תאריך הצ'' בריאות נוכחית]],12)-TODAY(),"")</f>
        <v>106</v>
      </c>
      <c r="X12" s="4">
        <f>COUNTIFS(tbLate[איחור בדק''/חור],"&lt;&gt;חור",tbLate[שם המאחר],tbEmploDetails[[#This Row],[שם מלא]])</f>
        <v>0</v>
      </c>
      <c r="Y12" s="4">
        <f>COUNTIFS(tbLate[איחור בדק''/חור],"חור",tbLate[שם המאחר],tbEmploDetails[[#This Row],[שם מלא]])</f>
        <v>0</v>
      </c>
      <c r="Z12" s="133" t="str">
        <f>IFERROR(AVERAGEIFS(tbLate[איחור בדק''/חור],tbLate[שם המאחר],tbEmploDetails[[#This Row],[שם מלא]]),"")</f>
        <v/>
      </c>
      <c r="AA12" s="4">
        <f ca="1">COUNTIFS(tbLate[שם המאחר],tbEmploDetails[[#This Row],[שם מלא]],tbLate[תאריך],"&gt;"&amp;months2AgoCell,tbLate[מס''דק''איחור],"&gt;0")</f>
        <v>0</v>
      </c>
      <c r="AB12" s="4">
        <f ca="1">COUNTIFS(tbLate[שם המאחר],tbEmploDetails[[#This Row],[שם מלא]],tbLate[תאריך],"&gt;"&amp;months2AgoCell,tbLate[האם חור],"&gt;0")</f>
        <v>0</v>
      </c>
      <c r="AC12" s="4">
        <f>COUNTIFS(tbPerfReview[מאבטח],tbEmploDetails[[#This Row],[שם מלא]])</f>
        <v>0</v>
      </c>
      <c r="AD12" s="133" t="str">
        <f>IFERROR(AVERAGEIFS(tbPerfReview[ציון],tbPerfReview[מאבטח],tbEmploDetails[[#This Row],[שם מלא]]),"")</f>
        <v/>
      </c>
      <c r="AE12" s="4">
        <f ca="1">COUNTIFS(tbPerfReview[תאריך],"&gt;"&amp;yearAgoCell,tbPerfReview[מאבטח],tbEmploDetails[[#This Row],[שם מלא]])</f>
        <v>0</v>
      </c>
      <c r="AF12" s="133" t="str">
        <f ca="1">IFERROR(AVERAGEIFS(tbPerfReview[ציון],tbPerfReview[מאבטח],tbEmploDetails[[#This Row],[שם מלא]],tbPerfReview[תאריך],"&gt;="&amp;yearAgoCell),"")</f>
        <v/>
      </c>
      <c r="AG12" s="4"/>
      <c r="AH12" s="4">
        <f>COUNTIFS(tbDrills[מאבטח],tbEmploDetails[[#This Row],[שם מלא]])</f>
        <v>0</v>
      </c>
      <c r="AI12" s="4" t="str">
        <f>IFERROR(AVERAGEIFS(tbDrills[ציון],tbDrills[מאבטח],tbEmploDetails[[#This Row],[שם מלא]]),"")</f>
        <v/>
      </c>
      <c r="AJ12" s="4">
        <f ca="1">COUNTIFS(tbDrills[תאריך],"&gt;"&amp;yearAgoCell,tbDrills[מאבטח],tbEmploDetails[[#This Row],[שם מלא]])</f>
        <v>0</v>
      </c>
      <c r="AK12" s="4" t="str">
        <f ca="1">IFERROR(AVERAGEIFS(tbDrills[ציון],tbDrills[מאבטח],tbEmploDetails[[#This Row],[שם מלא]],tbDrills[תאריך],"&gt;="&amp;yearAgoCell),"")</f>
        <v/>
      </c>
      <c r="AL12" t="s">
        <v>666</v>
      </c>
      <c r="AM12" s="370">
        <v>14</v>
      </c>
      <c r="AN12" s="4"/>
      <c r="AO12" s="4"/>
      <c r="AP12" s="4">
        <f>ROW()</f>
        <v>12</v>
      </c>
      <c r="AQ12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ברנר 14 , חיפה</v>
      </c>
    </row>
    <row r="13" spans="1:43">
      <c r="A13" s="371" t="s">
        <v>391</v>
      </c>
      <c r="B13" s="371" t="s">
        <v>392</v>
      </c>
      <c r="C13" s="4" t="str">
        <f>TRIM(tbEmploDetails[[#This Row],[שם משפחה]])&amp;" "&amp;TRIM(tbEmploDetails[[#This Row],[שם פרטי]])</f>
        <v>רז אלעד</v>
      </c>
      <c r="D13" t="s">
        <v>470</v>
      </c>
      <c r="E13" t="s">
        <v>530</v>
      </c>
      <c r="F13" t="s">
        <v>572</v>
      </c>
      <c r="G13" t="str">
        <f>TRIM(tbEmploDetails[[#This Row],[כתובת - שם רחוב]]&amp;" "&amp;tbEmploDetails[[#This Row],[כתובת - מס'' רחוב]])</f>
        <v>פינסקר 20</v>
      </c>
      <c r="H13" t="s">
        <v>630</v>
      </c>
      <c r="I13" s="49" t="s">
        <v>35</v>
      </c>
      <c r="J13" s="6"/>
      <c r="L13" t="str">
        <f>TRIM(tbEmploDetails[[#This Row],[איש קשר - שם מלא]] &amp; " (" &amp; tbEmploDetails[[#This Row],[איש קשר - טיב קשר]] &amp; ")")</f>
        <v>()</v>
      </c>
      <c r="M13" s="43">
        <v>44158</v>
      </c>
      <c r="N13" s="4">
        <f ca="1">IF(tbEmploDetails[[#This Row],[תאריך תחילת תעסוקה נוכחית]],TODAY()-tbEmploDetails[[#This Row],[תאריך תחילת תעסוקה נוכחית]],"חסר מידע")</f>
        <v>1400</v>
      </c>
      <c r="O13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10 חודשים</v>
      </c>
      <c r="P13" s="49" t="s">
        <v>120</v>
      </c>
      <c r="Q13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13" s="48">
        <f>MAX(_xlfn.MAXIFS(tbShetchExam[מס'' פעם], tbShetchExam[נבחן],tbEmploDetails[[#This Row],[שם מלא]]))</f>
        <v>0</v>
      </c>
      <c r="S13" t="s">
        <v>41</v>
      </c>
      <c r="T13" t="s">
        <v>43</v>
      </c>
      <c r="U13" t="s">
        <v>93</v>
      </c>
      <c r="V13" s="2">
        <v>45344</v>
      </c>
      <c r="W13" s="4">
        <f ca="1">IF(tbEmploDetails[[#This Row],[תאריך הצ'' בריאות נוכחית]],EDATE(tbEmploDetails[[#This Row],[תאריך הצ'' בריאות נוכחית]],12)-TODAY(),"")</f>
        <v>152</v>
      </c>
      <c r="X13" s="4">
        <f>COUNTIFS(tbLate[איחור בדק''/חור],"&lt;&gt;חור",tbLate[שם המאחר],tbEmploDetails[[#This Row],[שם מלא]])</f>
        <v>0</v>
      </c>
      <c r="Y13" s="4">
        <f>COUNTIFS(tbLate[איחור בדק''/חור],"חור",tbLate[שם המאחר],tbEmploDetails[[#This Row],[שם מלא]])</f>
        <v>0</v>
      </c>
      <c r="Z13" s="133" t="str">
        <f>IFERROR(AVERAGEIFS(tbLate[איחור בדק''/חור],tbLate[שם המאחר],tbEmploDetails[[#This Row],[שם מלא]]),"")</f>
        <v/>
      </c>
      <c r="AA13" s="4">
        <f ca="1">COUNTIFS(tbLate[שם המאחר],tbEmploDetails[[#This Row],[שם מלא]],tbLate[תאריך],"&gt;"&amp;months2AgoCell,tbLate[מס''דק''איחור],"&gt;0")</f>
        <v>0</v>
      </c>
      <c r="AB13" s="4">
        <f ca="1">COUNTIFS(tbLate[שם המאחר],tbEmploDetails[[#This Row],[שם מלא]],tbLate[תאריך],"&gt;"&amp;months2AgoCell,tbLate[האם חור],"&gt;0")</f>
        <v>0</v>
      </c>
      <c r="AC13" s="4">
        <f>COUNTIFS(tbPerfReview[מאבטח],tbEmploDetails[[#This Row],[שם מלא]])</f>
        <v>0</v>
      </c>
      <c r="AD13" s="133" t="str">
        <f>IFERROR(AVERAGEIFS(tbPerfReview[ציון],tbPerfReview[מאבטח],tbEmploDetails[[#This Row],[שם מלא]]),"")</f>
        <v/>
      </c>
      <c r="AE13" s="4">
        <f ca="1">COUNTIFS(tbPerfReview[תאריך],"&gt;"&amp;yearAgoCell,tbPerfReview[מאבטח],tbEmploDetails[[#This Row],[שם מלא]])</f>
        <v>0</v>
      </c>
      <c r="AF13" s="133" t="str">
        <f ca="1">IFERROR(AVERAGEIFS(tbPerfReview[ציון],tbPerfReview[מאבטח],tbEmploDetails[[#This Row],[שם מלא]],tbPerfReview[תאריך],"&gt;="&amp;yearAgoCell),"")</f>
        <v/>
      </c>
      <c r="AG13" s="4"/>
      <c r="AH13" s="4">
        <f>COUNTIFS(tbDrills[מאבטח],tbEmploDetails[[#This Row],[שם מלא]])</f>
        <v>0</v>
      </c>
      <c r="AI13" s="4" t="str">
        <f>IFERROR(AVERAGEIFS(tbDrills[ציון],tbDrills[מאבטח],tbEmploDetails[[#This Row],[שם מלא]]),"")</f>
        <v/>
      </c>
      <c r="AJ13" s="4">
        <f ca="1">COUNTIFS(tbDrills[תאריך],"&gt;"&amp;yearAgoCell,tbDrills[מאבטח],tbEmploDetails[[#This Row],[שם מלא]])</f>
        <v>0</v>
      </c>
      <c r="AK13" s="4" t="str">
        <f ca="1">IFERROR(AVERAGEIFS(tbDrills[ציון],tbDrills[מאבטח],tbEmploDetails[[#This Row],[שם מלא]],tbDrills[תאריך],"&gt;="&amp;yearAgoCell),"")</f>
        <v/>
      </c>
      <c r="AL13" t="s">
        <v>667</v>
      </c>
      <c r="AM13" s="370">
        <v>20</v>
      </c>
      <c r="AN13" s="4"/>
      <c r="AO13" s="4"/>
      <c r="AP13" s="4">
        <f>ROW()</f>
        <v>13</v>
      </c>
      <c r="AQ13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פינסקר 20 , תל אביב</v>
      </c>
    </row>
    <row r="14" spans="1:43">
      <c r="A14" s="371" t="s">
        <v>393</v>
      </c>
      <c r="B14" s="371" t="s">
        <v>109</v>
      </c>
      <c r="C14" s="4" t="str">
        <f>TRIM(tbEmploDetails[[#This Row],[שם משפחה]])&amp;" "&amp;TRIM(tbEmploDetails[[#This Row],[שם פרטי]])</f>
        <v>שמש מיכל</v>
      </c>
      <c r="D14" t="s">
        <v>471</v>
      </c>
      <c r="E14" t="s">
        <v>522</v>
      </c>
      <c r="F14" t="s">
        <v>573</v>
      </c>
      <c r="G14" t="str">
        <f>TRIM(tbEmploDetails[[#This Row],[כתובת - שם רחוב]]&amp;" "&amp;tbEmploDetails[[#This Row],[כתובת - מס'' רחוב]])</f>
        <v>הכרמל 18</v>
      </c>
      <c r="H14" t="s">
        <v>639</v>
      </c>
      <c r="I14" s="49" t="s">
        <v>35</v>
      </c>
      <c r="J14" s="6"/>
      <c r="L14" t="str">
        <f>TRIM(tbEmploDetails[[#This Row],[איש קשר - שם מלא]] &amp; " (" &amp; tbEmploDetails[[#This Row],[איש קשר - טיב קשר]] &amp; ")")</f>
        <v>()</v>
      </c>
      <c r="M14" s="43">
        <v>42802</v>
      </c>
      <c r="N14" s="4">
        <f ca="1">IF(tbEmploDetails[[#This Row],[תאריך תחילת תעסוקה נוכחית]],TODAY()-tbEmploDetails[[#This Row],[תאריך תחילת תעסוקה נוכחית]],"חסר מידע")</f>
        <v>2756</v>
      </c>
      <c r="O14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7 שנים, 6 חודשים</v>
      </c>
      <c r="P14" s="49" t="s">
        <v>120</v>
      </c>
      <c r="Q14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14" s="48">
        <f>MAX(_xlfn.MAXIFS(tbShetchExam[מס'' פעם], tbShetchExam[נבחן],tbEmploDetails[[#This Row],[שם מלא]]))</f>
        <v>0</v>
      </c>
      <c r="S14" t="s">
        <v>40</v>
      </c>
      <c r="T14" t="s">
        <v>42</v>
      </c>
      <c r="U14" t="s">
        <v>93</v>
      </c>
      <c r="V14" s="2">
        <v>45364</v>
      </c>
      <c r="W14" s="4">
        <f ca="1">IF(tbEmploDetails[[#This Row],[תאריך הצ'' בריאות נוכחית]],EDATE(tbEmploDetails[[#This Row],[תאריך הצ'' בריאות נוכחית]],12)-TODAY(),"")</f>
        <v>171</v>
      </c>
      <c r="X14" s="4">
        <f>COUNTIFS(tbLate[איחור בדק''/חור],"&lt;&gt;חור",tbLate[שם המאחר],tbEmploDetails[[#This Row],[שם מלא]])</f>
        <v>0</v>
      </c>
      <c r="Y14" s="4">
        <f>COUNTIFS(tbLate[איחור בדק''/חור],"חור",tbLate[שם המאחר],tbEmploDetails[[#This Row],[שם מלא]])</f>
        <v>0</v>
      </c>
      <c r="Z14" s="133" t="str">
        <f>IFERROR(AVERAGEIFS(tbLate[איחור בדק''/חור],tbLate[שם המאחר],tbEmploDetails[[#This Row],[שם מלא]]),"")</f>
        <v/>
      </c>
      <c r="AA14" s="4">
        <f ca="1">COUNTIFS(tbLate[שם המאחר],tbEmploDetails[[#This Row],[שם מלא]],tbLate[תאריך],"&gt;"&amp;months2AgoCell,tbLate[מס''דק''איחור],"&gt;0")</f>
        <v>0</v>
      </c>
      <c r="AB14" s="4">
        <f ca="1">COUNTIFS(tbLate[שם המאחר],tbEmploDetails[[#This Row],[שם מלא]],tbLate[תאריך],"&gt;"&amp;months2AgoCell,tbLate[האם חור],"&gt;0")</f>
        <v>0</v>
      </c>
      <c r="AC14" s="4">
        <f>COUNTIFS(tbPerfReview[מאבטח],tbEmploDetails[[#This Row],[שם מלא]])</f>
        <v>0</v>
      </c>
      <c r="AD14" s="133" t="str">
        <f>IFERROR(AVERAGEIFS(tbPerfReview[ציון],tbPerfReview[מאבטח],tbEmploDetails[[#This Row],[שם מלא]]),"")</f>
        <v/>
      </c>
      <c r="AE14" s="4">
        <f ca="1">COUNTIFS(tbPerfReview[תאריך],"&gt;"&amp;yearAgoCell,tbPerfReview[מאבטח],tbEmploDetails[[#This Row],[שם מלא]])</f>
        <v>0</v>
      </c>
      <c r="AF14" s="133" t="str">
        <f ca="1">IFERROR(AVERAGEIFS(tbPerfReview[ציון],tbPerfReview[מאבטח],tbEmploDetails[[#This Row],[שם מלא]],tbPerfReview[תאריך],"&gt;="&amp;yearAgoCell),"")</f>
        <v/>
      </c>
      <c r="AG14" s="4"/>
      <c r="AH14" s="4">
        <f>COUNTIFS(tbDrills[מאבטח],tbEmploDetails[[#This Row],[שם מלא]])</f>
        <v>0</v>
      </c>
      <c r="AI14" s="4" t="str">
        <f>IFERROR(AVERAGEIFS(tbDrills[ציון],tbDrills[מאבטח],tbEmploDetails[[#This Row],[שם מלא]]),"")</f>
        <v/>
      </c>
      <c r="AJ14" s="4">
        <f ca="1">COUNTIFS(tbDrills[תאריך],"&gt;"&amp;yearAgoCell,tbDrills[מאבטח],tbEmploDetails[[#This Row],[שם מלא]])</f>
        <v>0</v>
      </c>
      <c r="AK14" s="4" t="str">
        <f ca="1">IFERROR(AVERAGEIFS(tbDrills[ציון],tbDrills[מאבטח],tbEmploDetails[[#This Row],[שם מלא]],tbDrills[תאריך],"&gt;="&amp;yearAgoCell),"")</f>
        <v/>
      </c>
      <c r="AL14" t="s">
        <v>668</v>
      </c>
      <c r="AM14" s="370">
        <v>18</v>
      </c>
      <c r="AN14" s="4"/>
      <c r="AO14" s="4"/>
      <c r="AP14" s="4">
        <f>ROW()</f>
        <v>14</v>
      </c>
      <c r="AQ14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הכרמל 18 , חולון</v>
      </c>
    </row>
    <row r="15" spans="1:43">
      <c r="A15" s="371" t="s">
        <v>394</v>
      </c>
      <c r="B15" s="371" t="s">
        <v>395</v>
      </c>
      <c r="C15" s="4" t="str">
        <f>TRIM(tbEmploDetails[[#This Row],[שם משפחה]])&amp;" "&amp;TRIM(tbEmploDetails[[#This Row],[שם פרטי]])</f>
        <v>שדה ליאור</v>
      </c>
      <c r="D15" t="s">
        <v>472</v>
      </c>
      <c r="E15" t="s">
        <v>531</v>
      </c>
      <c r="F15" t="s">
        <v>574</v>
      </c>
      <c r="G15" t="str">
        <f>TRIM(tbEmploDetails[[#This Row],[כתובת - שם רחוב]]&amp;" "&amp;tbEmploDetails[[#This Row],[כתובת - מס'' רחוב]])</f>
        <v>סוקולוב 50</v>
      </c>
      <c r="H15" t="s">
        <v>632</v>
      </c>
      <c r="I15" s="49" t="s">
        <v>35</v>
      </c>
      <c r="J15" s="6"/>
      <c r="L15" t="str">
        <f>TRIM(tbEmploDetails[[#This Row],[איש קשר - שם מלא]] &amp; " (" &amp; tbEmploDetails[[#This Row],[איש קשר - טיב קשר]] &amp; ")")</f>
        <v>()</v>
      </c>
      <c r="M15" s="43">
        <v>44392</v>
      </c>
      <c r="N15" s="4">
        <f ca="1">IF(tbEmploDetails[[#This Row],[תאריך תחילת תעסוקה נוכחית]],TODAY()-tbEmploDetails[[#This Row],[תאריך תחילת תעסוקה נוכחית]],"חסר מידע")</f>
        <v>1166</v>
      </c>
      <c r="O15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2 חודשים</v>
      </c>
      <c r="P15" s="49" t="s">
        <v>120</v>
      </c>
      <c r="Q15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15" s="48">
        <f>MAX(_xlfn.MAXIFS(tbShetchExam[מס'' פעם], tbShetchExam[נבחן],tbEmploDetails[[#This Row],[שם מלא]]))</f>
        <v>0</v>
      </c>
      <c r="S15" t="s">
        <v>40</v>
      </c>
      <c r="T15" t="s">
        <v>42</v>
      </c>
      <c r="U15" t="s">
        <v>93</v>
      </c>
      <c r="V15" s="2">
        <v>45411</v>
      </c>
      <c r="W15" s="4">
        <f ca="1">IF(tbEmploDetails[[#This Row],[תאריך הצ'' בריאות נוכחית]],EDATE(tbEmploDetails[[#This Row],[תאריך הצ'' בריאות נוכחית]],12)-TODAY(),"")</f>
        <v>218</v>
      </c>
      <c r="X15" s="4">
        <f>COUNTIFS(tbLate[איחור בדק''/חור],"&lt;&gt;חור",tbLate[שם המאחר],tbEmploDetails[[#This Row],[שם מלא]])</f>
        <v>0</v>
      </c>
      <c r="Y15" s="4">
        <f>COUNTIFS(tbLate[איחור בדק''/חור],"חור",tbLate[שם המאחר],tbEmploDetails[[#This Row],[שם מלא]])</f>
        <v>0</v>
      </c>
      <c r="Z15" s="133" t="str">
        <f>IFERROR(AVERAGEIFS(tbLate[איחור בדק''/חור],tbLate[שם המאחר],tbEmploDetails[[#This Row],[שם מלא]]),"")</f>
        <v/>
      </c>
      <c r="AA15" s="4">
        <f ca="1">COUNTIFS(tbLate[שם המאחר],tbEmploDetails[[#This Row],[שם מלא]],tbLate[תאריך],"&gt;"&amp;months2AgoCell,tbLate[מס''דק''איחור],"&gt;0")</f>
        <v>0</v>
      </c>
      <c r="AB15" s="4">
        <f ca="1">COUNTIFS(tbLate[שם המאחר],tbEmploDetails[[#This Row],[שם מלא]],tbLate[תאריך],"&gt;"&amp;months2AgoCell,tbLate[האם חור],"&gt;0")</f>
        <v>0</v>
      </c>
      <c r="AC15" s="4">
        <f>COUNTIFS(tbPerfReview[מאבטח],tbEmploDetails[[#This Row],[שם מלא]])</f>
        <v>0</v>
      </c>
      <c r="AD15" s="133" t="str">
        <f>IFERROR(AVERAGEIFS(tbPerfReview[ציון],tbPerfReview[מאבטח],tbEmploDetails[[#This Row],[שם מלא]]),"")</f>
        <v/>
      </c>
      <c r="AE15" s="4">
        <f ca="1">COUNTIFS(tbPerfReview[תאריך],"&gt;"&amp;yearAgoCell,tbPerfReview[מאבטח],tbEmploDetails[[#This Row],[שם מלא]])</f>
        <v>0</v>
      </c>
      <c r="AF15" s="133" t="str">
        <f ca="1">IFERROR(AVERAGEIFS(tbPerfReview[ציון],tbPerfReview[מאבטח],tbEmploDetails[[#This Row],[שם מלא]],tbPerfReview[תאריך],"&gt;="&amp;yearAgoCell),"")</f>
        <v/>
      </c>
      <c r="AG15" s="4"/>
      <c r="AH15" s="4">
        <f>COUNTIFS(tbDrills[מאבטח],tbEmploDetails[[#This Row],[שם מלא]])</f>
        <v>0</v>
      </c>
      <c r="AI15" s="4" t="str">
        <f>IFERROR(AVERAGEIFS(tbDrills[ציון],tbDrills[מאבטח],tbEmploDetails[[#This Row],[שם מלא]]),"")</f>
        <v/>
      </c>
      <c r="AJ15" s="4">
        <f ca="1">COUNTIFS(tbDrills[תאריך],"&gt;"&amp;yearAgoCell,tbDrills[מאבטח],tbEmploDetails[[#This Row],[שם מלא]])</f>
        <v>0</v>
      </c>
      <c r="AK15" s="4" t="str">
        <f ca="1">IFERROR(AVERAGEIFS(tbDrills[ציון],tbDrills[מאבטח],tbEmploDetails[[#This Row],[שם מלא]],tbDrills[תאריך],"&gt;="&amp;yearAgoCell),"")</f>
        <v/>
      </c>
      <c r="AL15" t="s">
        <v>669</v>
      </c>
      <c r="AM15" s="370">
        <v>50</v>
      </c>
      <c r="AN15" s="4"/>
      <c r="AO15" s="4"/>
      <c r="AP15" s="4">
        <f>ROW()</f>
        <v>15</v>
      </c>
      <c r="AQ15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סוקולוב 50 , ירושלים</v>
      </c>
    </row>
    <row r="16" spans="1:43">
      <c r="A16" s="371" t="s">
        <v>396</v>
      </c>
      <c r="B16" s="371" t="s">
        <v>113</v>
      </c>
      <c r="C16" s="4" t="str">
        <f>TRIM(tbEmploDetails[[#This Row],[שם משפחה]])&amp;" "&amp;TRIM(tbEmploDetails[[#This Row],[שם פרטי]])</f>
        <v>לביא יונתן</v>
      </c>
      <c r="D16" t="s">
        <v>473</v>
      </c>
      <c r="E16" t="s">
        <v>532</v>
      </c>
      <c r="F16" t="s">
        <v>575</v>
      </c>
      <c r="G16" t="str">
        <f>TRIM(tbEmploDetails[[#This Row],[כתובת - שם רחוב]]&amp;" "&amp;tbEmploDetails[[#This Row],[כתובת - מס'' רחוב]])</f>
        <v>הגליל 12</v>
      </c>
      <c r="H16" t="s">
        <v>640</v>
      </c>
      <c r="I16" s="49" t="s">
        <v>36</v>
      </c>
      <c r="J16" s="6"/>
      <c r="L16" t="str">
        <f>TRIM(tbEmploDetails[[#This Row],[איש קשר - שם מלא]] &amp; " (" &amp; tbEmploDetails[[#This Row],[איש קשר - טיב קשר]] &amp; ")")</f>
        <v>()</v>
      </c>
      <c r="M16" s="43">
        <v>42307</v>
      </c>
      <c r="N16" s="4">
        <f ca="1">IF(tbEmploDetails[[#This Row],[תאריך תחילת תעסוקה נוכחית]],TODAY()-tbEmploDetails[[#This Row],[תאריך תחילת תעסוקה נוכחית]],"חסר מידע")</f>
        <v>3251</v>
      </c>
      <c r="O16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10 חודשים</v>
      </c>
      <c r="P16" s="49" t="s">
        <v>120</v>
      </c>
      <c r="Q16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16" s="48">
        <f>MAX(_xlfn.MAXIFS(tbShetchExam[מס'' פעם], tbShetchExam[נבחן],tbEmploDetails[[#This Row],[שם מלא]]))</f>
        <v>0</v>
      </c>
      <c r="S16" t="s">
        <v>40</v>
      </c>
      <c r="T16" t="s">
        <v>42</v>
      </c>
      <c r="U16" t="s">
        <v>93</v>
      </c>
      <c r="V16" s="2">
        <v>45422</v>
      </c>
      <c r="W16" s="4">
        <f ca="1">IF(tbEmploDetails[[#This Row],[תאריך הצ'' בריאות נוכחית]],EDATE(tbEmploDetails[[#This Row],[תאריך הצ'' בריאות נוכחית]],12)-TODAY(),"")</f>
        <v>229</v>
      </c>
      <c r="X16" s="4">
        <f>COUNTIFS(tbLate[איחור בדק''/חור],"&lt;&gt;חור",tbLate[שם המאחר],tbEmploDetails[[#This Row],[שם מלא]])</f>
        <v>0</v>
      </c>
      <c r="Y16" s="4">
        <f>COUNTIFS(tbLate[איחור בדק''/חור],"חור",tbLate[שם המאחר],tbEmploDetails[[#This Row],[שם מלא]])</f>
        <v>0</v>
      </c>
      <c r="Z16" s="133" t="str">
        <f>IFERROR(AVERAGEIFS(tbLate[איחור בדק''/חור],tbLate[שם המאחר],tbEmploDetails[[#This Row],[שם מלא]]),"")</f>
        <v/>
      </c>
      <c r="AA16" s="4">
        <f ca="1">COUNTIFS(tbLate[שם המאחר],tbEmploDetails[[#This Row],[שם מלא]],tbLate[תאריך],"&gt;"&amp;months2AgoCell,tbLate[מס''דק''איחור],"&gt;0")</f>
        <v>0</v>
      </c>
      <c r="AB16" s="4">
        <f ca="1">COUNTIFS(tbLate[שם המאחר],tbEmploDetails[[#This Row],[שם מלא]],tbLate[תאריך],"&gt;"&amp;months2AgoCell,tbLate[האם חור],"&gt;0")</f>
        <v>0</v>
      </c>
      <c r="AC16" s="4">
        <f>COUNTIFS(tbPerfReview[מאבטח],tbEmploDetails[[#This Row],[שם מלא]])</f>
        <v>0</v>
      </c>
      <c r="AD16" s="133" t="str">
        <f>IFERROR(AVERAGEIFS(tbPerfReview[ציון],tbPerfReview[מאבטח],tbEmploDetails[[#This Row],[שם מלא]]),"")</f>
        <v/>
      </c>
      <c r="AE16" s="4">
        <f ca="1">COUNTIFS(tbPerfReview[תאריך],"&gt;"&amp;yearAgoCell,tbPerfReview[מאבטח],tbEmploDetails[[#This Row],[שם מלא]])</f>
        <v>0</v>
      </c>
      <c r="AF16" s="133" t="str">
        <f ca="1">IFERROR(AVERAGEIFS(tbPerfReview[ציון],tbPerfReview[מאבטח],tbEmploDetails[[#This Row],[שם מלא]],tbPerfReview[תאריך],"&gt;="&amp;yearAgoCell),"")</f>
        <v/>
      </c>
      <c r="AG16" s="4"/>
      <c r="AH16" s="4">
        <f>COUNTIFS(tbDrills[מאבטח],tbEmploDetails[[#This Row],[שם מלא]])</f>
        <v>0</v>
      </c>
      <c r="AI16" s="4" t="str">
        <f>IFERROR(AVERAGEIFS(tbDrills[ציון],tbDrills[מאבטח],tbEmploDetails[[#This Row],[שם מלא]]),"")</f>
        <v/>
      </c>
      <c r="AJ16" s="4">
        <f ca="1">COUNTIFS(tbDrills[תאריך],"&gt;"&amp;yearAgoCell,tbDrills[מאבטח],tbEmploDetails[[#This Row],[שם מלא]])</f>
        <v>0</v>
      </c>
      <c r="AK16" s="4" t="str">
        <f ca="1">IFERROR(AVERAGEIFS(tbDrills[ציון],tbDrills[מאבטח],tbEmploDetails[[#This Row],[שם מלא]],tbDrills[תאריך],"&gt;="&amp;yearAgoCell),"")</f>
        <v/>
      </c>
      <c r="AL16" t="s">
        <v>670</v>
      </c>
      <c r="AM16" s="370">
        <v>12</v>
      </c>
      <c r="AN16" s="4"/>
      <c r="AO16" s="4"/>
      <c r="AP16" s="4">
        <f>ROW()</f>
        <v>16</v>
      </c>
      <c r="AQ16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הגליל 12 , גבעתיים</v>
      </c>
    </row>
    <row r="17" spans="1:43">
      <c r="A17" s="371" t="s">
        <v>397</v>
      </c>
      <c r="B17" s="371" t="s">
        <v>398</v>
      </c>
      <c r="C17" s="4" t="str">
        <f>TRIM(tbEmploDetails[[#This Row],[שם משפחה]])&amp;" "&amp;TRIM(tbEmploDetails[[#This Row],[שם פרטי]])</f>
        <v>ברגר סיוון</v>
      </c>
      <c r="D17" t="s">
        <v>474</v>
      </c>
      <c r="E17" t="s">
        <v>521</v>
      </c>
      <c r="F17" t="s">
        <v>576</v>
      </c>
      <c r="G17" t="str">
        <f>TRIM(tbEmploDetails[[#This Row],[כתובת - שם רחוב]]&amp;" "&amp;tbEmploDetails[[#This Row],[כתובת - מס'' רחוב]])</f>
        <v>הנביאים 22</v>
      </c>
      <c r="H17" t="s">
        <v>641</v>
      </c>
      <c r="I17" s="49" t="s">
        <v>35</v>
      </c>
      <c r="J17" s="6"/>
      <c r="L17" t="str">
        <f>TRIM(tbEmploDetails[[#This Row],[איש קשר - שם מלא]] &amp; " (" &amp; tbEmploDetails[[#This Row],[איש קשר - טיב קשר]] &amp; ")")</f>
        <v>()</v>
      </c>
      <c r="M17" s="43">
        <v>42388</v>
      </c>
      <c r="N17" s="4">
        <f ca="1">IF(tbEmploDetails[[#This Row],[תאריך תחילת תעסוקה נוכחית]],TODAY()-tbEmploDetails[[#This Row],[תאריך תחילת תעסוקה נוכחית]],"חסר מידע")</f>
        <v>3170</v>
      </c>
      <c r="O17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8 חודשים</v>
      </c>
      <c r="P17" s="49" t="s">
        <v>272</v>
      </c>
      <c r="Q17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17" s="48">
        <f>MAX(_xlfn.MAXIFS(tbShetchExam[מס'' פעם], tbShetchExam[נבחן],tbEmploDetails[[#This Row],[שם מלא]]))</f>
        <v>0</v>
      </c>
      <c r="S17" t="s">
        <v>41</v>
      </c>
      <c r="T17" t="s">
        <v>43</v>
      </c>
      <c r="U17" t="s">
        <v>96</v>
      </c>
      <c r="V17" s="2">
        <v>45461</v>
      </c>
      <c r="W17" s="4">
        <f ca="1">IF(tbEmploDetails[[#This Row],[תאריך הצ'' בריאות נוכחית]],EDATE(tbEmploDetails[[#This Row],[תאריך הצ'' בריאות נוכחית]],12)-TODAY(),"")</f>
        <v>268</v>
      </c>
      <c r="X17" s="4">
        <f>COUNTIFS(tbLate[איחור בדק''/חור],"&lt;&gt;חור",tbLate[שם המאחר],tbEmploDetails[[#This Row],[שם מלא]])</f>
        <v>0</v>
      </c>
      <c r="Y17" s="4">
        <f>COUNTIFS(tbLate[איחור בדק''/חור],"חור",tbLate[שם המאחר],tbEmploDetails[[#This Row],[שם מלא]])</f>
        <v>0</v>
      </c>
      <c r="Z17" s="133" t="str">
        <f>IFERROR(AVERAGEIFS(tbLate[איחור בדק''/חור],tbLate[שם המאחר],tbEmploDetails[[#This Row],[שם מלא]]),"")</f>
        <v/>
      </c>
      <c r="AA17" s="4">
        <f ca="1">COUNTIFS(tbLate[שם המאחר],tbEmploDetails[[#This Row],[שם מלא]],tbLate[תאריך],"&gt;"&amp;months2AgoCell,tbLate[מס''דק''איחור],"&gt;0")</f>
        <v>0</v>
      </c>
      <c r="AB17" s="4">
        <f ca="1">COUNTIFS(tbLate[שם המאחר],tbEmploDetails[[#This Row],[שם מלא]],tbLate[תאריך],"&gt;"&amp;months2AgoCell,tbLate[האם חור],"&gt;0")</f>
        <v>0</v>
      </c>
      <c r="AC17" s="4">
        <f>COUNTIFS(tbPerfReview[מאבטח],tbEmploDetails[[#This Row],[שם מלא]])</f>
        <v>1</v>
      </c>
      <c r="AD17" s="133" t="str">
        <f>IFERROR(AVERAGEIFS(tbPerfReview[ציון],tbPerfReview[מאבטח],tbEmploDetails[[#This Row],[שם מלא]]),"")</f>
        <v/>
      </c>
      <c r="AE17" s="4">
        <f ca="1">COUNTIFS(tbPerfReview[תאריך],"&gt;"&amp;yearAgoCell,tbPerfReview[מאבטח],tbEmploDetails[[#This Row],[שם מלא]])</f>
        <v>1</v>
      </c>
      <c r="AF17" s="133" t="str">
        <f ca="1">IFERROR(AVERAGEIFS(tbPerfReview[ציון],tbPerfReview[מאבטח],tbEmploDetails[[#This Row],[שם מלא]],tbPerfReview[תאריך],"&gt;="&amp;yearAgoCell),"")</f>
        <v/>
      </c>
      <c r="AG17" s="4"/>
      <c r="AH17" s="4">
        <f>COUNTIFS(tbDrills[מאבטח],tbEmploDetails[[#This Row],[שם מלא]])</f>
        <v>0</v>
      </c>
      <c r="AI17" s="4" t="str">
        <f>IFERROR(AVERAGEIFS(tbDrills[ציון],tbDrills[מאבטח],tbEmploDetails[[#This Row],[שם מלא]]),"")</f>
        <v/>
      </c>
      <c r="AJ17" s="4">
        <f ca="1">COUNTIFS(tbDrills[תאריך],"&gt;"&amp;yearAgoCell,tbDrills[מאבטח],tbEmploDetails[[#This Row],[שם מלא]])</f>
        <v>0</v>
      </c>
      <c r="AK17" s="4" t="str">
        <f ca="1">IFERROR(AVERAGEIFS(tbDrills[ציון],tbDrills[מאבטח],tbEmploDetails[[#This Row],[שם מלא]],tbDrills[תאריך],"&gt;="&amp;yearAgoCell),"")</f>
        <v/>
      </c>
      <c r="AL17" t="s">
        <v>671</v>
      </c>
      <c r="AM17" s="370">
        <v>22</v>
      </c>
      <c r="AN17" s="4"/>
      <c r="AO17" s="4"/>
      <c r="AP17" s="4">
        <f>ROW()</f>
        <v>17</v>
      </c>
      <c r="AQ17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הנביאים 22 , רעננה</v>
      </c>
    </row>
    <row r="18" spans="1:43">
      <c r="A18" s="371" t="s">
        <v>399</v>
      </c>
      <c r="B18" s="371" t="s">
        <v>400</v>
      </c>
      <c r="C18" s="4" t="str">
        <f>TRIM(tbEmploDetails[[#This Row],[שם משפחה]])&amp;" "&amp;TRIM(tbEmploDetails[[#This Row],[שם פרטי]])</f>
        <v>רוזנבלום טל</v>
      </c>
      <c r="D18" t="s">
        <v>475</v>
      </c>
      <c r="E18" t="s">
        <v>533</v>
      </c>
      <c r="F18" t="s">
        <v>577</v>
      </c>
      <c r="G18" t="str">
        <f>TRIM(tbEmploDetails[[#This Row],[כתובת - שם רחוב]]&amp;" "&amp;tbEmploDetails[[#This Row],[כתובת - מס'' רחוב]])</f>
        <v>יהודה המכבי 7</v>
      </c>
      <c r="H18" t="s">
        <v>642</v>
      </c>
      <c r="I18" s="49" t="s">
        <v>35</v>
      </c>
      <c r="J18" s="6"/>
      <c r="L18" t="str">
        <f>TRIM(tbEmploDetails[[#This Row],[איש קשר - שם מלא]] &amp; " (" &amp; tbEmploDetails[[#This Row],[איש קשר - טיב קשר]] &amp; ")")</f>
        <v>()</v>
      </c>
      <c r="M18" s="43">
        <v>43711</v>
      </c>
      <c r="N18" s="4">
        <f ca="1">IF(tbEmploDetails[[#This Row],[תאריך תחילת תעסוקה נוכחית]],TODAY()-tbEmploDetails[[#This Row],[תאריך תחילת תעסוקה נוכחית]],"חסר מידע")</f>
        <v>1847</v>
      </c>
      <c r="O18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5 שנים, 15 ימים</v>
      </c>
      <c r="P18" s="49" t="s">
        <v>120</v>
      </c>
      <c r="Q18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18" s="48">
        <f>MAX(_xlfn.MAXIFS(tbShetchExam[מס'' פעם], tbShetchExam[נבחן],tbEmploDetails[[#This Row],[שם מלא]]))</f>
        <v>0</v>
      </c>
      <c r="S18" t="s">
        <v>40</v>
      </c>
      <c r="T18" t="s">
        <v>42</v>
      </c>
      <c r="U18" t="s">
        <v>93</v>
      </c>
      <c r="V18" s="2">
        <v>45476</v>
      </c>
      <c r="W18" s="4">
        <f ca="1">IF(tbEmploDetails[[#This Row],[תאריך הצ'' בריאות נוכחית]],EDATE(tbEmploDetails[[#This Row],[תאריך הצ'' בריאות נוכחית]],12)-TODAY(),"")</f>
        <v>283</v>
      </c>
      <c r="X18" s="4">
        <f>COUNTIFS(tbLate[איחור בדק''/חור],"&lt;&gt;חור",tbLate[שם המאחר],tbEmploDetails[[#This Row],[שם מלא]])</f>
        <v>0</v>
      </c>
      <c r="Y18" s="4">
        <f>COUNTIFS(tbLate[איחור בדק''/חור],"חור",tbLate[שם המאחר],tbEmploDetails[[#This Row],[שם מלא]])</f>
        <v>0</v>
      </c>
      <c r="Z18" s="133" t="str">
        <f>IFERROR(AVERAGEIFS(tbLate[איחור בדק''/חור],tbLate[שם המאחר],tbEmploDetails[[#This Row],[שם מלא]]),"")</f>
        <v/>
      </c>
      <c r="AA18" s="4">
        <f ca="1">COUNTIFS(tbLate[שם המאחר],tbEmploDetails[[#This Row],[שם מלא]],tbLate[תאריך],"&gt;"&amp;months2AgoCell,tbLate[מס''דק''איחור],"&gt;0")</f>
        <v>0</v>
      </c>
      <c r="AB18" s="4">
        <f ca="1">COUNTIFS(tbLate[שם המאחר],tbEmploDetails[[#This Row],[שם מלא]],tbLate[תאריך],"&gt;"&amp;months2AgoCell,tbLate[האם חור],"&gt;0")</f>
        <v>0</v>
      </c>
      <c r="AC18" s="4">
        <f>COUNTIFS(tbPerfReview[מאבטח],tbEmploDetails[[#This Row],[שם מלא]])</f>
        <v>0</v>
      </c>
      <c r="AD18" s="133" t="str">
        <f>IFERROR(AVERAGEIFS(tbPerfReview[ציון],tbPerfReview[מאבטח],tbEmploDetails[[#This Row],[שם מלא]]),"")</f>
        <v/>
      </c>
      <c r="AE18" s="4">
        <f ca="1">COUNTIFS(tbPerfReview[תאריך],"&gt;"&amp;yearAgoCell,tbPerfReview[מאבטח],tbEmploDetails[[#This Row],[שם מלא]])</f>
        <v>0</v>
      </c>
      <c r="AF18" s="133" t="str">
        <f ca="1">IFERROR(AVERAGEIFS(tbPerfReview[ציון],tbPerfReview[מאבטח],tbEmploDetails[[#This Row],[שם מלא]],tbPerfReview[תאריך],"&gt;="&amp;yearAgoCell),"")</f>
        <v/>
      </c>
      <c r="AG18" s="4"/>
      <c r="AH18" s="4">
        <f>COUNTIFS(tbDrills[מאבטח],tbEmploDetails[[#This Row],[שם מלא]])</f>
        <v>0</v>
      </c>
      <c r="AI18" s="4" t="str">
        <f>IFERROR(AVERAGEIFS(tbDrills[ציון],tbDrills[מאבטח],tbEmploDetails[[#This Row],[שם מלא]]),"")</f>
        <v/>
      </c>
      <c r="AJ18" s="4">
        <f ca="1">COUNTIFS(tbDrills[תאריך],"&gt;"&amp;yearAgoCell,tbDrills[מאבטח],tbEmploDetails[[#This Row],[שם מלא]])</f>
        <v>0</v>
      </c>
      <c r="AK18" s="4" t="str">
        <f ca="1">IFERROR(AVERAGEIFS(tbDrills[ציון],tbDrills[מאבטח],tbEmploDetails[[#This Row],[שם מלא]],tbDrills[תאריך],"&gt;="&amp;yearAgoCell),"")</f>
        <v/>
      </c>
      <c r="AL18" t="s">
        <v>672</v>
      </c>
      <c r="AM18" s="370">
        <v>7</v>
      </c>
      <c r="AN18" s="4"/>
      <c r="AO18" s="4"/>
      <c r="AP18" s="4">
        <f>ROW()</f>
        <v>18</v>
      </c>
      <c r="AQ18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יהודה המכבי 7 , הרצליה</v>
      </c>
    </row>
    <row r="19" spans="1:43">
      <c r="A19" s="371" t="s">
        <v>401</v>
      </c>
      <c r="B19" s="371" t="s">
        <v>402</v>
      </c>
      <c r="C19" s="4" t="str">
        <f>TRIM(tbEmploDetails[[#This Row],[שם משפחה]])&amp;" "&amp;TRIM(tbEmploDetails[[#This Row],[שם פרטי]])</f>
        <v>הורוביץ יואב</v>
      </c>
      <c r="D19" t="s">
        <v>476</v>
      </c>
      <c r="E19" t="s">
        <v>180</v>
      </c>
      <c r="F19" t="s">
        <v>578</v>
      </c>
      <c r="G19" t="str">
        <f>TRIM(tbEmploDetails[[#This Row],[כתובת - שם רחוב]]&amp;" "&amp;tbEmploDetails[[#This Row],[כתובת - מס'' רחוב]])</f>
        <v>החשמונאים 45</v>
      </c>
      <c r="H19" t="s">
        <v>643</v>
      </c>
      <c r="I19" s="49" t="s">
        <v>35</v>
      </c>
      <c r="J19" s="6"/>
      <c r="L19" t="str">
        <f>TRIM(tbEmploDetails[[#This Row],[איש קשר - שם מלא]] &amp; " (" &amp; tbEmploDetails[[#This Row],[איש קשר - טיב קשר]] &amp; ")")</f>
        <v>()</v>
      </c>
      <c r="M19" s="43">
        <v>41754</v>
      </c>
      <c r="N19" s="4">
        <f ca="1">IF(tbEmploDetails[[#This Row],[תאריך תחילת תעסוקה נוכחית]],TODAY()-tbEmploDetails[[#This Row],[תאריך תחילת תעסוקה נוכחית]],"חסר מידע")</f>
        <v>3804</v>
      </c>
      <c r="O19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10 שנים, 4 חודשים</v>
      </c>
      <c r="P19" s="49" t="s">
        <v>120</v>
      </c>
      <c r="Q19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19" s="48">
        <f>MAX(_xlfn.MAXIFS(tbShetchExam[מס'' פעם], tbShetchExam[נבחן],tbEmploDetails[[#This Row],[שם מלא]]))</f>
        <v>0</v>
      </c>
      <c r="S19" t="s">
        <v>40</v>
      </c>
      <c r="T19" t="s">
        <v>42</v>
      </c>
      <c r="U19" t="s">
        <v>93</v>
      </c>
      <c r="V19" s="2">
        <v>45529</v>
      </c>
      <c r="W19" s="4">
        <f ca="1">IF(tbEmploDetails[[#This Row],[תאריך הצ'' בריאות נוכחית]],EDATE(tbEmploDetails[[#This Row],[תאריך הצ'' בריאות נוכחית]],12)-TODAY(),"")</f>
        <v>336</v>
      </c>
      <c r="X19" s="4">
        <f>COUNTIFS(tbLate[איחור בדק''/חור],"&lt;&gt;חור",tbLate[שם המאחר],tbEmploDetails[[#This Row],[שם מלא]])</f>
        <v>0</v>
      </c>
      <c r="Y19" s="4">
        <f>COUNTIFS(tbLate[איחור בדק''/חור],"חור",tbLate[שם המאחר],tbEmploDetails[[#This Row],[שם מלא]])</f>
        <v>0</v>
      </c>
      <c r="Z19" s="133" t="str">
        <f>IFERROR(AVERAGEIFS(tbLate[איחור בדק''/חור],tbLate[שם המאחר],tbEmploDetails[[#This Row],[שם מלא]]),"")</f>
        <v/>
      </c>
      <c r="AA19" s="4">
        <f ca="1">COUNTIFS(tbLate[שם המאחר],tbEmploDetails[[#This Row],[שם מלא]],tbLate[תאריך],"&gt;"&amp;months2AgoCell,tbLate[מס''דק''איחור],"&gt;0")</f>
        <v>0</v>
      </c>
      <c r="AB19" s="4">
        <f ca="1">COUNTIFS(tbLate[שם המאחר],tbEmploDetails[[#This Row],[שם מלא]],tbLate[תאריך],"&gt;"&amp;months2AgoCell,tbLate[האם חור],"&gt;0")</f>
        <v>0</v>
      </c>
      <c r="AC19" s="4">
        <f>COUNTIFS(tbPerfReview[מאבטח],tbEmploDetails[[#This Row],[שם מלא]])</f>
        <v>0</v>
      </c>
      <c r="AD19" s="133" t="str">
        <f>IFERROR(AVERAGEIFS(tbPerfReview[ציון],tbPerfReview[מאבטח],tbEmploDetails[[#This Row],[שם מלא]]),"")</f>
        <v/>
      </c>
      <c r="AE19" s="4">
        <f ca="1">COUNTIFS(tbPerfReview[תאריך],"&gt;"&amp;yearAgoCell,tbPerfReview[מאבטח],tbEmploDetails[[#This Row],[שם מלא]])</f>
        <v>0</v>
      </c>
      <c r="AF19" s="133" t="str">
        <f ca="1">IFERROR(AVERAGEIFS(tbPerfReview[ציון],tbPerfReview[מאבטח],tbEmploDetails[[#This Row],[שם מלא]],tbPerfReview[תאריך],"&gt;="&amp;yearAgoCell),"")</f>
        <v/>
      </c>
      <c r="AG19" s="4"/>
      <c r="AH19" s="4">
        <f>COUNTIFS(tbDrills[מאבטח],tbEmploDetails[[#This Row],[שם מלא]])</f>
        <v>0</v>
      </c>
      <c r="AI19" s="4" t="str">
        <f>IFERROR(AVERAGEIFS(tbDrills[ציון],tbDrills[מאבטח],tbEmploDetails[[#This Row],[שם מלא]]),"")</f>
        <v/>
      </c>
      <c r="AJ19" s="4">
        <f ca="1">COUNTIFS(tbDrills[תאריך],"&gt;"&amp;yearAgoCell,tbDrills[מאבטח],tbEmploDetails[[#This Row],[שם מלא]])</f>
        <v>0</v>
      </c>
      <c r="AK19" s="4" t="str">
        <f ca="1">IFERROR(AVERAGEIFS(tbDrills[ציון],tbDrills[מאבטח],tbEmploDetails[[#This Row],[שם מלא]],tbDrills[תאריך],"&gt;="&amp;yearAgoCell),"")</f>
        <v/>
      </c>
      <c r="AL19" t="s">
        <v>673</v>
      </c>
      <c r="AM19" s="370">
        <v>45</v>
      </c>
      <c r="AN19" s="4"/>
      <c r="AO19" s="4"/>
      <c r="AP19" s="4">
        <f>ROW()</f>
        <v>19</v>
      </c>
      <c r="AQ19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החשמונאים 45 , אילת</v>
      </c>
    </row>
    <row r="20" spans="1:43">
      <c r="A20" s="371" t="s">
        <v>403</v>
      </c>
      <c r="B20" s="371" t="s">
        <v>404</v>
      </c>
      <c r="C20" s="4" t="str">
        <f>TRIM(tbEmploDetails[[#This Row],[שם משפחה]])&amp;" "&amp;TRIM(tbEmploDetails[[#This Row],[שם פרטי]])</f>
        <v>ניצן רותם</v>
      </c>
      <c r="D20" t="s">
        <v>477</v>
      </c>
      <c r="E20" t="s">
        <v>523</v>
      </c>
      <c r="F20" t="s">
        <v>579</v>
      </c>
      <c r="G20" t="str">
        <f>TRIM(tbEmploDetails[[#This Row],[כתובת - שם רחוב]]&amp;" "&amp;tbEmploDetails[[#This Row],[כתובת - מס'' רחוב]])</f>
        <v>הנשיא ויצמן 28</v>
      </c>
      <c r="H20" t="s">
        <v>644</v>
      </c>
      <c r="I20" s="49" t="s">
        <v>36</v>
      </c>
      <c r="J20" s="6"/>
      <c r="L20" t="str">
        <f>TRIM(tbEmploDetails[[#This Row],[איש קשר - שם מלא]] &amp; " (" &amp; tbEmploDetails[[#This Row],[איש קשר - טיב קשר]] &amp; ")")</f>
        <v>()</v>
      </c>
      <c r="M20" s="43">
        <v>44901</v>
      </c>
      <c r="N20" s="4">
        <f ca="1">IF(tbEmploDetails[[#This Row],[תאריך תחילת תעסוקה נוכחית]],TODAY()-tbEmploDetails[[#This Row],[תאריך תחילת תעסוקה נוכחית]],"חסר מידע")</f>
        <v>657</v>
      </c>
      <c r="O20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 שנים, 9 חודשים</v>
      </c>
      <c r="P20" s="49" t="s">
        <v>120</v>
      </c>
      <c r="Q20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20" s="48">
        <f>MAX(_xlfn.MAXIFS(tbShetchExam[מס'' פעם], tbShetchExam[נבחן],tbEmploDetails[[#This Row],[שם מלא]]))</f>
        <v>0</v>
      </c>
      <c r="S20" t="s">
        <v>40</v>
      </c>
      <c r="T20" t="s">
        <v>42</v>
      </c>
      <c r="U20" t="s">
        <v>93</v>
      </c>
      <c r="V20" s="2">
        <v>45571</v>
      </c>
      <c r="W20" s="4">
        <f ca="1">IF(tbEmploDetails[[#This Row],[תאריך הצ'' בריאות נוכחית]],EDATE(tbEmploDetails[[#This Row],[תאריך הצ'' בריאות נוכחית]],12)-TODAY(),"")</f>
        <v>378</v>
      </c>
      <c r="X20" s="4">
        <f>COUNTIFS(tbLate[איחור בדק''/חור],"&lt;&gt;חור",tbLate[שם המאחר],tbEmploDetails[[#This Row],[שם מלא]])</f>
        <v>0</v>
      </c>
      <c r="Y20" s="4">
        <f>COUNTIFS(tbLate[איחור בדק''/חור],"חור",tbLate[שם המאחר],tbEmploDetails[[#This Row],[שם מלא]])</f>
        <v>0</v>
      </c>
      <c r="Z20" s="133" t="str">
        <f>IFERROR(AVERAGEIFS(tbLate[איחור בדק''/חור],tbLate[שם המאחר],tbEmploDetails[[#This Row],[שם מלא]]),"")</f>
        <v/>
      </c>
      <c r="AA20" s="4">
        <f ca="1">COUNTIFS(tbLate[שם המאחר],tbEmploDetails[[#This Row],[שם מלא]],tbLate[תאריך],"&gt;"&amp;months2AgoCell,tbLate[מס''דק''איחור],"&gt;0")</f>
        <v>0</v>
      </c>
      <c r="AB20" s="4">
        <f ca="1">COUNTIFS(tbLate[שם המאחר],tbEmploDetails[[#This Row],[שם מלא]],tbLate[תאריך],"&gt;"&amp;months2AgoCell,tbLate[האם חור],"&gt;0")</f>
        <v>0</v>
      </c>
      <c r="AC20" s="4">
        <f>COUNTIFS(tbPerfReview[מאבטח],tbEmploDetails[[#This Row],[שם מלא]])</f>
        <v>0</v>
      </c>
      <c r="AD20" s="133" t="str">
        <f>IFERROR(AVERAGEIFS(tbPerfReview[ציון],tbPerfReview[מאבטח],tbEmploDetails[[#This Row],[שם מלא]]),"")</f>
        <v/>
      </c>
      <c r="AE20" s="4">
        <f ca="1">COUNTIFS(tbPerfReview[תאריך],"&gt;"&amp;yearAgoCell,tbPerfReview[מאבטח],tbEmploDetails[[#This Row],[שם מלא]])</f>
        <v>0</v>
      </c>
      <c r="AF20" s="133" t="str">
        <f ca="1">IFERROR(AVERAGEIFS(tbPerfReview[ציון],tbPerfReview[מאבטח],tbEmploDetails[[#This Row],[שם מלא]],tbPerfReview[תאריך],"&gt;="&amp;yearAgoCell),"")</f>
        <v/>
      </c>
      <c r="AG20" s="4"/>
      <c r="AH20" s="4">
        <f>COUNTIFS(tbDrills[מאבטח],tbEmploDetails[[#This Row],[שם מלא]])</f>
        <v>0</v>
      </c>
      <c r="AI20" s="4" t="str">
        <f>IFERROR(AVERAGEIFS(tbDrills[ציון],tbDrills[מאבטח],tbEmploDetails[[#This Row],[שם מלא]]),"")</f>
        <v/>
      </c>
      <c r="AJ20" s="4">
        <f ca="1">COUNTIFS(tbDrills[תאריך],"&gt;"&amp;yearAgoCell,tbDrills[מאבטח],tbEmploDetails[[#This Row],[שם מלא]])</f>
        <v>0</v>
      </c>
      <c r="AK20" s="4" t="str">
        <f ca="1">IFERROR(AVERAGEIFS(tbDrills[ציון],tbDrills[מאבטח],tbEmploDetails[[#This Row],[שם מלא]],tbDrills[תאריך],"&gt;="&amp;yearAgoCell),"")</f>
        <v/>
      </c>
      <c r="AL20" t="s">
        <v>674</v>
      </c>
      <c r="AM20" s="370">
        <v>28</v>
      </c>
      <c r="AN20" s="4"/>
      <c r="AO20" s="4"/>
      <c r="AP20" s="4">
        <f>ROW()</f>
        <v>20</v>
      </c>
      <c r="AQ20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הנשיא ויצמן 28 , אשדוד</v>
      </c>
    </row>
    <row r="21" spans="1:43">
      <c r="A21" s="371" t="s">
        <v>405</v>
      </c>
      <c r="B21" s="371" t="s">
        <v>386</v>
      </c>
      <c r="C21" s="4" t="str">
        <f>TRIM(tbEmploDetails[[#This Row],[שם משפחה]])&amp;" "&amp;TRIM(tbEmploDetails[[#This Row],[שם פרטי]])</f>
        <v>קפלן רונית</v>
      </c>
      <c r="D21" t="s">
        <v>478</v>
      </c>
      <c r="E21" t="s">
        <v>534</v>
      </c>
      <c r="F21" t="s">
        <v>580</v>
      </c>
      <c r="G21" t="str">
        <f>TRIM(tbEmploDetails[[#This Row],[כתובת - שם רחוב]]&amp;" "&amp;tbEmploDetails[[#This Row],[כתובת - מס'' רחוב]])</f>
        <v>המגינים 34</v>
      </c>
      <c r="H21" t="s">
        <v>645</v>
      </c>
      <c r="I21" s="49" t="s">
        <v>35</v>
      </c>
      <c r="J21" s="6"/>
      <c r="L21" t="str">
        <f>TRIM(tbEmploDetails[[#This Row],[איש קשר - שם מלא]] &amp; " (" &amp; tbEmploDetails[[#This Row],[איש קשר - טיב קשר]] &amp; ")")</f>
        <v>()</v>
      </c>
      <c r="M21" s="43">
        <v>42611</v>
      </c>
      <c r="N21" s="4">
        <f ca="1">IF(tbEmploDetails[[#This Row],[תאריך תחילת תעסוקה נוכחית]],TODAY()-tbEmploDetails[[#This Row],[תאריך תחילת תעסוקה נוכחית]],"חסר מידע")</f>
        <v>2947</v>
      </c>
      <c r="O21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4 ימים</v>
      </c>
      <c r="P21" s="49" t="s">
        <v>120</v>
      </c>
      <c r="Q21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21" s="48">
        <f>MAX(_xlfn.MAXIFS(tbShetchExam[מס'' פעם], tbShetchExam[נבחן],tbEmploDetails[[#This Row],[שם מלא]]))</f>
        <v>0</v>
      </c>
      <c r="S21" t="s">
        <v>41</v>
      </c>
      <c r="T21" t="s">
        <v>43</v>
      </c>
      <c r="U21" t="s">
        <v>93</v>
      </c>
      <c r="V21" s="2">
        <v>45610</v>
      </c>
      <c r="W21" s="4">
        <f ca="1">IF(tbEmploDetails[[#This Row],[תאריך הצ'' בריאות נוכחית]],EDATE(tbEmploDetails[[#This Row],[תאריך הצ'' בריאות נוכחית]],12)-TODAY(),"")</f>
        <v>417</v>
      </c>
      <c r="X21" s="4">
        <f>COUNTIFS(tbLate[איחור בדק''/חור],"&lt;&gt;חור",tbLate[שם המאחר],tbEmploDetails[[#This Row],[שם מלא]])</f>
        <v>0</v>
      </c>
      <c r="Y21" s="4">
        <f>COUNTIFS(tbLate[איחור בדק''/חור],"חור",tbLate[שם המאחר],tbEmploDetails[[#This Row],[שם מלא]])</f>
        <v>0</v>
      </c>
      <c r="Z21" s="133" t="str">
        <f>IFERROR(AVERAGEIFS(tbLate[איחור בדק''/חור],tbLate[שם המאחר],tbEmploDetails[[#This Row],[שם מלא]]),"")</f>
        <v/>
      </c>
      <c r="AA21" s="4">
        <f ca="1">COUNTIFS(tbLate[שם המאחר],tbEmploDetails[[#This Row],[שם מלא]],tbLate[תאריך],"&gt;"&amp;months2AgoCell,tbLate[מס''דק''איחור],"&gt;0")</f>
        <v>0</v>
      </c>
      <c r="AB21" s="4">
        <f ca="1">COUNTIFS(tbLate[שם המאחר],tbEmploDetails[[#This Row],[שם מלא]],tbLate[תאריך],"&gt;"&amp;months2AgoCell,tbLate[האם חור],"&gt;0")</f>
        <v>0</v>
      </c>
      <c r="AC21" s="4">
        <f>COUNTIFS(tbPerfReview[מאבטח],tbEmploDetails[[#This Row],[שם מלא]])</f>
        <v>0</v>
      </c>
      <c r="AD21" s="133" t="str">
        <f>IFERROR(AVERAGEIFS(tbPerfReview[ציון],tbPerfReview[מאבטח],tbEmploDetails[[#This Row],[שם מלא]]),"")</f>
        <v/>
      </c>
      <c r="AE21" s="4">
        <f ca="1">COUNTIFS(tbPerfReview[תאריך],"&gt;"&amp;yearAgoCell,tbPerfReview[מאבטח],tbEmploDetails[[#This Row],[שם מלא]])</f>
        <v>0</v>
      </c>
      <c r="AF21" s="133" t="str">
        <f ca="1">IFERROR(AVERAGEIFS(tbPerfReview[ציון],tbPerfReview[מאבטח],tbEmploDetails[[#This Row],[שם מלא]],tbPerfReview[תאריך],"&gt;="&amp;yearAgoCell),"")</f>
        <v/>
      </c>
      <c r="AG21" s="4"/>
      <c r="AH21" s="4">
        <f>COUNTIFS(tbDrills[מאבטח],tbEmploDetails[[#This Row],[שם מלא]])</f>
        <v>0</v>
      </c>
      <c r="AI21" s="4" t="str">
        <f>IFERROR(AVERAGEIFS(tbDrills[ציון],tbDrills[מאבטח],tbEmploDetails[[#This Row],[שם מלא]]),"")</f>
        <v/>
      </c>
      <c r="AJ21" s="4">
        <f ca="1">COUNTIFS(tbDrills[תאריך],"&gt;"&amp;yearAgoCell,tbDrills[מאבטח],tbEmploDetails[[#This Row],[שם מלא]])</f>
        <v>0</v>
      </c>
      <c r="AK21" s="4" t="str">
        <f ca="1">IFERROR(AVERAGEIFS(tbDrills[ציון],tbDrills[מאבטח],tbEmploDetails[[#This Row],[שם מלא]],tbDrills[תאריך],"&gt;="&amp;yearAgoCell),"")</f>
        <v/>
      </c>
      <c r="AL21" t="s">
        <v>675</v>
      </c>
      <c r="AM21" s="370">
        <v>34</v>
      </c>
      <c r="AN21" s="4"/>
      <c r="AO21" s="4"/>
      <c r="AP21" s="4">
        <f>ROW()</f>
        <v>21</v>
      </c>
      <c r="AQ21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המגינים 34 , בת ים</v>
      </c>
    </row>
    <row r="22" spans="1:43">
      <c r="A22" s="371" t="s">
        <v>406</v>
      </c>
      <c r="B22" s="371" t="s">
        <v>407</v>
      </c>
      <c r="C22" s="4" t="str">
        <f>TRIM(tbEmploDetails[[#This Row],[שם משפחה]])&amp;" "&amp;TRIM(tbEmploDetails[[#This Row],[שם פרטי]])</f>
        <v>שרון גלי</v>
      </c>
      <c r="D22" t="s">
        <v>479</v>
      </c>
      <c r="E22" t="s">
        <v>526</v>
      </c>
      <c r="F22" t="s">
        <v>581</v>
      </c>
      <c r="G22" t="str">
        <f>TRIM(tbEmploDetails[[#This Row],[כתובת - שם רחוב]]&amp;" "&amp;tbEmploDetails[[#This Row],[כתובת - מס'' רחוב]])</f>
        <v>המייסדים 15</v>
      </c>
      <c r="H22" t="s">
        <v>646</v>
      </c>
      <c r="I22" s="49" t="s">
        <v>35</v>
      </c>
      <c r="J22" s="6"/>
      <c r="L22" t="str">
        <f>TRIM(tbEmploDetails[[#This Row],[איש קשר - שם מלא]] &amp; " (" &amp; tbEmploDetails[[#This Row],[איש קשר - טיב קשר]] &amp; ")")</f>
        <v>()</v>
      </c>
      <c r="M22" s="43">
        <v>43232</v>
      </c>
      <c r="N22" s="4">
        <f ca="1">IF(tbEmploDetails[[#This Row],[תאריך תחילת תעסוקה נוכחית]],TODAY()-tbEmploDetails[[#This Row],[תאריך תחילת תעסוקה נוכחית]],"חסר מידע")</f>
        <v>2326</v>
      </c>
      <c r="O22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6 שנים, 4 חודשים</v>
      </c>
      <c r="P22" s="49" t="s">
        <v>120</v>
      </c>
      <c r="Q22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22" s="48">
        <f>MAX(_xlfn.MAXIFS(tbShetchExam[מס'' פעם], tbShetchExam[נבחן],tbEmploDetails[[#This Row],[שם מלא]]))</f>
        <v>0</v>
      </c>
      <c r="S22" t="s">
        <v>40</v>
      </c>
      <c r="T22" t="s">
        <v>42</v>
      </c>
      <c r="U22" t="s">
        <v>93</v>
      </c>
      <c r="V22" s="2">
        <v>45298</v>
      </c>
      <c r="W22" s="4">
        <f ca="1">IF(tbEmploDetails[[#This Row],[תאריך הצ'' בריאות נוכחית]],EDATE(tbEmploDetails[[#This Row],[תאריך הצ'' בריאות נוכחית]],12)-TODAY(),"")</f>
        <v>106</v>
      </c>
      <c r="X22" s="4">
        <f>COUNTIFS(tbLate[איחור בדק''/חור],"&lt;&gt;חור",tbLate[שם המאחר],tbEmploDetails[[#This Row],[שם מלא]])</f>
        <v>0</v>
      </c>
      <c r="Y22" s="4">
        <f>COUNTIFS(tbLate[איחור בדק''/חור],"חור",tbLate[שם המאחר],tbEmploDetails[[#This Row],[שם מלא]])</f>
        <v>0</v>
      </c>
      <c r="Z22" s="133" t="str">
        <f>IFERROR(AVERAGEIFS(tbLate[איחור בדק''/חור],tbLate[שם המאחר],tbEmploDetails[[#This Row],[שם מלא]]),"")</f>
        <v/>
      </c>
      <c r="AA22" s="4">
        <f ca="1">COUNTIFS(tbLate[שם המאחר],tbEmploDetails[[#This Row],[שם מלא]],tbLate[תאריך],"&gt;"&amp;months2AgoCell,tbLate[מס''דק''איחור],"&gt;0")</f>
        <v>0</v>
      </c>
      <c r="AB22" s="4">
        <f ca="1">COUNTIFS(tbLate[שם המאחר],tbEmploDetails[[#This Row],[שם מלא]],tbLate[תאריך],"&gt;"&amp;months2AgoCell,tbLate[האם חור],"&gt;0")</f>
        <v>0</v>
      </c>
      <c r="AC22" s="4">
        <f>COUNTIFS(tbPerfReview[מאבטח],tbEmploDetails[[#This Row],[שם מלא]])</f>
        <v>0</v>
      </c>
      <c r="AD22" s="133" t="str">
        <f>IFERROR(AVERAGEIFS(tbPerfReview[ציון],tbPerfReview[מאבטח],tbEmploDetails[[#This Row],[שם מלא]]),"")</f>
        <v/>
      </c>
      <c r="AE22" s="4">
        <f ca="1">COUNTIFS(tbPerfReview[תאריך],"&gt;"&amp;yearAgoCell,tbPerfReview[מאבטח],tbEmploDetails[[#This Row],[שם מלא]])</f>
        <v>0</v>
      </c>
      <c r="AF22" s="133" t="str">
        <f ca="1">IFERROR(AVERAGEIFS(tbPerfReview[ציון],tbPerfReview[מאבטח],tbEmploDetails[[#This Row],[שם מלא]],tbPerfReview[תאריך],"&gt;="&amp;yearAgoCell),"")</f>
        <v/>
      </c>
      <c r="AG22" s="4"/>
      <c r="AH22" s="4">
        <f>COUNTIFS(tbDrills[מאבטח],tbEmploDetails[[#This Row],[שם מלא]])</f>
        <v>0</v>
      </c>
      <c r="AI22" s="4" t="str">
        <f>IFERROR(AVERAGEIFS(tbDrills[ציון],tbDrills[מאבטח],tbEmploDetails[[#This Row],[שם מלא]]),"")</f>
        <v/>
      </c>
      <c r="AJ22" s="4">
        <f ca="1">COUNTIFS(tbDrills[תאריך],"&gt;"&amp;yearAgoCell,tbDrills[מאבטח],tbEmploDetails[[#This Row],[שם מלא]])</f>
        <v>0</v>
      </c>
      <c r="AK22" s="4" t="str">
        <f ca="1">IFERROR(AVERAGEIFS(tbDrills[ציון],tbDrills[מאבטח],tbEmploDetails[[#This Row],[שם מלא]],tbDrills[תאריך],"&gt;="&amp;yearAgoCell),"")</f>
        <v/>
      </c>
      <c r="AL22" t="s">
        <v>676</v>
      </c>
      <c r="AM22" s="370">
        <v>15</v>
      </c>
      <c r="AN22" s="4"/>
      <c r="AO22" s="4"/>
      <c r="AP22" s="4">
        <f>ROW()</f>
        <v>22</v>
      </c>
      <c r="AQ22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המייסדים 15 , חדרה</v>
      </c>
    </row>
    <row r="23" spans="1:43">
      <c r="A23" s="371" t="s">
        <v>408</v>
      </c>
      <c r="B23" s="371" t="s">
        <v>107</v>
      </c>
      <c r="C23" s="4" t="str">
        <f>TRIM(tbEmploDetails[[#This Row],[שם משפחה]])&amp;" "&amp;TRIM(tbEmploDetails[[#This Row],[שם פרטי]])</f>
        <v>עוז דניאל</v>
      </c>
      <c r="D23" t="s">
        <v>480</v>
      </c>
      <c r="E23" t="s">
        <v>535</v>
      </c>
      <c r="F23" t="s">
        <v>582</v>
      </c>
      <c r="G23" t="str">
        <f>TRIM(tbEmploDetails[[#This Row],[כתובת - שם רחוב]]&amp;" "&amp;tbEmploDetails[[#This Row],[כתובת - מס'' רחוב]])</f>
        <v>ז'בוטינסקי 52</v>
      </c>
      <c r="H23" t="s">
        <v>647</v>
      </c>
      <c r="I23" s="49" t="s">
        <v>36</v>
      </c>
      <c r="J23" s="6"/>
      <c r="L23" t="str">
        <f>TRIM(tbEmploDetails[[#This Row],[איש קשר - שם מלא]] &amp; " (" &amp; tbEmploDetails[[#This Row],[איש קשר - טיב קשר]] &amp; ")")</f>
        <v>()</v>
      </c>
      <c r="M23" s="43">
        <v>44158</v>
      </c>
      <c r="N23" s="4">
        <f ca="1">IF(tbEmploDetails[[#This Row],[תאריך תחילת תעסוקה נוכחית]],TODAY()-tbEmploDetails[[#This Row],[תאריך תחילת תעסוקה נוכחית]],"חסר מידע")</f>
        <v>1400</v>
      </c>
      <c r="O23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10 חודשים</v>
      </c>
      <c r="P23" s="49" t="s">
        <v>120</v>
      </c>
      <c r="Q23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23" s="48">
        <f>MAX(_xlfn.MAXIFS(tbShetchExam[מס'' פעם], tbShetchExam[נבחן],tbEmploDetails[[#This Row],[שם מלא]]))</f>
        <v>0</v>
      </c>
      <c r="S23" t="s">
        <v>40</v>
      </c>
      <c r="T23" t="s">
        <v>42</v>
      </c>
      <c r="U23" t="s">
        <v>96</v>
      </c>
      <c r="V23" s="2">
        <v>45344</v>
      </c>
      <c r="W23" s="4">
        <f ca="1">IF(tbEmploDetails[[#This Row],[תאריך הצ'' בריאות נוכחית]],EDATE(tbEmploDetails[[#This Row],[תאריך הצ'' בריאות נוכחית]],12)-TODAY(),"")</f>
        <v>152</v>
      </c>
      <c r="X23" s="4">
        <f>COUNTIFS(tbLate[איחור בדק''/חור],"&lt;&gt;חור",tbLate[שם המאחר],tbEmploDetails[[#This Row],[שם מלא]])</f>
        <v>0</v>
      </c>
      <c r="Y23" s="4">
        <f>COUNTIFS(tbLate[איחור בדק''/חור],"חור",tbLate[שם המאחר],tbEmploDetails[[#This Row],[שם מלא]])</f>
        <v>0</v>
      </c>
      <c r="Z23" s="133" t="str">
        <f>IFERROR(AVERAGEIFS(tbLate[איחור בדק''/חור],tbLate[שם המאחר],tbEmploDetails[[#This Row],[שם מלא]]),"")</f>
        <v/>
      </c>
      <c r="AA23" s="4">
        <f ca="1">COUNTIFS(tbLate[שם המאחר],tbEmploDetails[[#This Row],[שם מלא]],tbLate[תאריך],"&gt;"&amp;months2AgoCell,tbLate[מס''דק''איחור],"&gt;0")</f>
        <v>0</v>
      </c>
      <c r="AB23" s="4">
        <f ca="1">COUNTIFS(tbLate[שם המאחר],tbEmploDetails[[#This Row],[שם מלא]],tbLate[תאריך],"&gt;"&amp;months2AgoCell,tbLate[האם חור],"&gt;0")</f>
        <v>0</v>
      </c>
      <c r="AC23" s="4">
        <f>COUNTIFS(tbPerfReview[מאבטח],tbEmploDetails[[#This Row],[שם מלא]])</f>
        <v>0</v>
      </c>
      <c r="AD23" s="133" t="str">
        <f>IFERROR(AVERAGEIFS(tbPerfReview[ציון],tbPerfReview[מאבטח],tbEmploDetails[[#This Row],[שם מלא]]),"")</f>
        <v/>
      </c>
      <c r="AE23" s="4">
        <f ca="1">COUNTIFS(tbPerfReview[תאריך],"&gt;"&amp;yearAgoCell,tbPerfReview[מאבטח],tbEmploDetails[[#This Row],[שם מלא]])</f>
        <v>0</v>
      </c>
      <c r="AF23" s="133" t="str">
        <f ca="1">IFERROR(AVERAGEIFS(tbPerfReview[ציון],tbPerfReview[מאבטח],tbEmploDetails[[#This Row],[שם מלא]],tbPerfReview[תאריך],"&gt;="&amp;yearAgoCell),"")</f>
        <v/>
      </c>
      <c r="AG23" s="4"/>
      <c r="AH23" s="4">
        <f>COUNTIFS(tbDrills[מאבטח],tbEmploDetails[[#This Row],[שם מלא]])</f>
        <v>0</v>
      </c>
      <c r="AI23" s="4" t="str">
        <f>IFERROR(AVERAGEIFS(tbDrills[ציון],tbDrills[מאבטח],tbEmploDetails[[#This Row],[שם מלא]]),"")</f>
        <v/>
      </c>
      <c r="AJ23" s="4">
        <f ca="1">COUNTIFS(tbDrills[תאריך],"&gt;"&amp;yearAgoCell,tbDrills[מאבטח],tbEmploDetails[[#This Row],[שם מלא]])</f>
        <v>0</v>
      </c>
      <c r="AK23" s="4" t="str">
        <f ca="1">IFERROR(AVERAGEIFS(tbDrills[ציון],tbDrills[מאבטח],tbEmploDetails[[#This Row],[שם מלא]],tbDrills[תאריך],"&gt;="&amp;yearAgoCell),"")</f>
        <v/>
      </c>
      <c r="AL23" t="s">
        <v>677</v>
      </c>
      <c r="AM23" s="370">
        <v>52</v>
      </c>
      <c r="AN23" s="4"/>
      <c r="AO23" s="4"/>
      <c r="AP23" s="4">
        <f>ROW()</f>
        <v>23</v>
      </c>
      <c r="AQ23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ז'בוטינסקי 52 , רמת השרון</v>
      </c>
    </row>
    <row r="24" spans="1:43">
      <c r="A24" s="371" t="s">
        <v>409</v>
      </c>
      <c r="B24" s="371" t="s">
        <v>410</v>
      </c>
      <c r="C24" s="4" t="str">
        <f>TRIM(tbEmploDetails[[#This Row],[שם משפחה]])&amp;" "&amp;TRIM(tbEmploDetails[[#This Row],[שם פרטי]])</f>
        <v>אלוני רועי</v>
      </c>
      <c r="D24" t="s">
        <v>481</v>
      </c>
      <c r="E24" t="s">
        <v>536</v>
      </c>
      <c r="F24" t="s">
        <v>583</v>
      </c>
      <c r="G24" t="str">
        <f>TRIM(tbEmploDetails[[#This Row],[כתובת - שם רחוב]]&amp;" "&amp;tbEmploDetails[[#This Row],[כתובת - מס'' רחוב]])</f>
        <v>הנשיא 44</v>
      </c>
      <c r="H24" t="s">
        <v>648</v>
      </c>
      <c r="I24" s="49" t="s">
        <v>35</v>
      </c>
      <c r="J24" s="6"/>
      <c r="L24" t="str">
        <f>TRIM(tbEmploDetails[[#This Row],[איש קשר - שם מלא]] &amp; " (" &amp; tbEmploDetails[[#This Row],[איש קשר - טיב קשר]] &amp; ")")</f>
        <v>()</v>
      </c>
      <c r="M24" s="43">
        <v>42802</v>
      </c>
      <c r="N24" s="4">
        <f ca="1">IF(tbEmploDetails[[#This Row],[תאריך תחילת תעסוקה נוכחית]],TODAY()-tbEmploDetails[[#This Row],[תאריך תחילת תעסוקה נוכחית]],"חסר מידע")</f>
        <v>2756</v>
      </c>
      <c r="O24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7 שנים, 6 חודשים</v>
      </c>
      <c r="P24" s="49" t="s">
        <v>120</v>
      </c>
      <c r="Q24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24" s="48">
        <f>MAX(_xlfn.MAXIFS(tbShetchExam[מס'' פעם], tbShetchExam[נבחן],tbEmploDetails[[#This Row],[שם מלא]]))</f>
        <v>0</v>
      </c>
      <c r="S24" t="s">
        <v>40</v>
      </c>
      <c r="T24" t="s">
        <v>42</v>
      </c>
      <c r="U24" t="s">
        <v>93</v>
      </c>
      <c r="V24" s="2">
        <v>45364</v>
      </c>
      <c r="W24" s="4">
        <f ca="1">IF(tbEmploDetails[[#This Row],[תאריך הצ'' בריאות נוכחית]],EDATE(tbEmploDetails[[#This Row],[תאריך הצ'' בריאות נוכחית]],12)-TODAY(),"")</f>
        <v>171</v>
      </c>
      <c r="X24" s="4">
        <f>COUNTIFS(tbLate[איחור בדק''/חור],"&lt;&gt;חור",tbLate[שם המאחר],tbEmploDetails[[#This Row],[שם מלא]])</f>
        <v>0</v>
      </c>
      <c r="Y24" s="4">
        <f>COUNTIFS(tbLate[איחור בדק''/חור],"חור",tbLate[שם המאחר],tbEmploDetails[[#This Row],[שם מלא]])</f>
        <v>1</v>
      </c>
      <c r="Z24" s="133" t="str">
        <f>IFERROR(AVERAGEIFS(tbLate[איחור בדק''/חור],tbLate[שם המאחר],tbEmploDetails[[#This Row],[שם מלא]]),"")</f>
        <v/>
      </c>
      <c r="AA24" s="4">
        <f ca="1">COUNTIFS(tbLate[שם המאחר],tbEmploDetails[[#This Row],[שם מלא]],tbLate[תאריך],"&gt;"&amp;months2AgoCell,tbLate[מס''דק''איחור],"&gt;0")</f>
        <v>0</v>
      </c>
      <c r="AB24" s="4">
        <f ca="1">COUNTIFS(tbLate[שם המאחר],tbEmploDetails[[#This Row],[שם מלא]],tbLate[תאריך],"&gt;"&amp;months2AgoCell,tbLate[האם חור],"&gt;0")</f>
        <v>1</v>
      </c>
      <c r="AC24" s="4">
        <f>COUNTIFS(tbPerfReview[מאבטח],tbEmploDetails[[#This Row],[שם מלא]])</f>
        <v>0</v>
      </c>
      <c r="AD24" s="133" t="str">
        <f>IFERROR(AVERAGEIFS(tbPerfReview[ציון],tbPerfReview[מאבטח],tbEmploDetails[[#This Row],[שם מלא]]),"")</f>
        <v/>
      </c>
      <c r="AE24" s="4">
        <f ca="1">COUNTIFS(tbPerfReview[תאריך],"&gt;"&amp;yearAgoCell,tbPerfReview[מאבטח],tbEmploDetails[[#This Row],[שם מלא]])</f>
        <v>0</v>
      </c>
      <c r="AF24" s="133" t="str">
        <f ca="1">IFERROR(AVERAGEIFS(tbPerfReview[ציון],tbPerfReview[מאבטח],tbEmploDetails[[#This Row],[שם מלא]],tbPerfReview[תאריך],"&gt;="&amp;yearAgoCell),"")</f>
        <v/>
      </c>
      <c r="AG24" s="4"/>
      <c r="AH24" s="4">
        <f>COUNTIFS(tbDrills[מאבטח],tbEmploDetails[[#This Row],[שם מלא]])</f>
        <v>1</v>
      </c>
      <c r="AI24" s="4">
        <f>IFERROR(AVERAGEIFS(tbDrills[ציון],tbDrills[מאבטח],tbEmploDetails[[#This Row],[שם מלא]]),"")</f>
        <v>5</v>
      </c>
      <c r="AJ24" s="4">
        <f ca="1">COUNTIFS(tbDrills[תאריך],"&gt;"&amp;yearAgoCell,tbDrills[מאבטח],tbEmploDetails[[#This Row],[שם מלא]])</f>
        <v>1</v>
      </c>
      <c r="AK24" s="4">
        <f ca="1">IFERROR(AVERAGEIFS(tbDrills[ציון],tbDrills[מאבטח],tbEmploDetails[[#This Row],[שם מלא]],tbDrills[תאריך],"&gt;="&amp;yearAgoCell),"")</f>
        <v>5</v>
      </c>
      <c r="AL24" t="s">
        <v>658</v>
      </c>
      <c r="AM24" s="370">
        <v>44</v>
      </c>
      <c r="AN24" s="4"/>
      <c r="AO24" s="4"/>
      <c r="AP24" s="4">
        <f>ROW()</f>
        <v>24</v>
      </c>
      <c r="AQ24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הנשיא 44 , כפר יונה</v>
      </c>
    </row>
    <row r="25" spans="1:43">
      <c r="A25" s="371" t="s">
        <v>116</v>
      </c>
      <c r="B25" s="371" t="s">
        <v>108</v>
      </c>
      <c r="C25" s="4" t="str">
        <f>TRIM(tbEmploDetails[[#This Row],[שם משפחה]])&amp;" "&amp;TRIM(tbEmploDetails[[#This Row],[שם פרטי]])</f>
        <v>חגי עדי</v>
      </c>
      <c r="D25" t="s">
        <v>482</v>
      </c>
      <c r="E25" t="s">
        <v>537</v>
      </c>
      <c r="F25" t="s">
        <v>584</v>
      </c>
      <c r="G25" t="str">
        <f>TRIM(tbEmploDetails[[#This Row],[כתובת - שם רחוב]]&amp;" "&amp;tbEmploDetails[[#This Row],[כתובת - מס'' רחוב]])</f>
        <v>הגפן 10</v>
      </c>
      <c r="H25" t="s">
        <v>632</v>
      </c>
      <c r="I25" s="49" t="s">
        <v>36</v>
      </c>
      <c r="J25" s="6"/>
      <c r="L25" t="str">
        <f>TRIM(tbEmploDetails[[#This Row],[איש קשר - שם מלא]] &amp; " (" &amp; tbEmploDetails[[#This Row],[איש קשר - טיב קשר]] &amp; ")")</f>
        <v>()</v>
      </c>
      <c r="M25" s="43">
        <v>44392</v>
      </c>
      <c r="N25" s="4">
        <f ca="1">IF(tbEmploDetails[[#This Row],[תאריך תחילת תעסוקה נוכחית]],TODAY()-tbEmploDetails[[#This Row],[תאריך תחילת תעסוקה נוכחית]],"חסר מידע")</f>
        <v>1166</v>
      </c>
      <c r="O25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2 חודשים</v>
      </c>
      <c r="P25" s="49" t="s">
        <v>120</v>
      </c>
      <c r="Q25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25" s="48">
        <f>MAX(_xlfn.MAXIFS(tbShetchExam[מס'' פעם], tbShetchExam[נבחן],tbEmploDetails[[#This Row],[שם מלא]]))</f>
        <v>0</v>
      </c>
      <c r="S25" t="s">
        <v>41</v>
      </c>
      <c r="T25" t="s">
        <v>43</v>
      </c>
      <c r="U25" t="s">
        <v>93</v>
      </c>
      <c r="V25" s="2">
        <v>45411</v>
      </c>
      <c r="W25" s="4">
        <f ca="1">IF(tbEmploDetails[[#This Row],[תאריך הצ'' בריאות נוכחית]],EDATE(tbEmploDetails[[#This Row],[תאריך הצ'' בריאות נוכחית]],12)-TODAY(),"")</f>
        <v>218</v>
      </c>
      <c r="X25" s="4">
        <f>COUNTIFS(tbLate[איחור בדק''/חור],"&lt;&gt;חור",tbLate[שם המאחר],tbEmploDetails[[#This Row],[שם מלא]])</f>
        <v>0</v>
      </c>
      <c r="Y25" s="4">
        <f>COUNTIFS(tbLate[איחור בדק''/חור],"חור",tbLate[שם המאחר],tbEmploDetails[[#This Row],[שם מלא]])</f>
        <v>0</v>
      </c>
      <c r="Z25" s="133" t="str">
        <f>IFERROR(AVERAGEIFS(tbLate[איחור בדק''/חור],tbLate[שם המאחר],tbEmploDetails[[#This Row],[שם מלא]]),"")</f>
        <v/>
      </c>
      <c r="AA25" s="4">
        <f ca="1">COUNTIFS(tbLate[שם המאחר],tbEmploDetails[[#This Row],[שם מלא]],tbLate[תאריך],"&gt;"&amp;months2AgoCell,tbLate[מס''דק''איחור],"&gt;0")</f>
        <v>0</v>
      </c>
      <c r="AB25" s="4">
        <f ca="1">COUNTIFS(tbLate[שם המאחר],tbEmploDetails[[#This Row],[שם מלא]],tbLate[תאריך],"&gt;"&amp;months2AgoCell,tbLate[האם חור],"&gt;0")</f>
        <v>0</v>
      </c>
      <c r="AC25" s="4">
        <f>COUNTIFS(tbPerfReview[מאבטח],tbEmploDetails[[#This Row],[שם מלא]])</f>
        <v>0</v>
      </c>
      <c r="AD25" s="133" t="str">
        <f>IFERROR(AVERAGEIFS(tbPerfReview[ציון],tbPerfReview[מאבטח],tbEmploDetails[[#This Row],[שם מלא]]),"")</f>
        <v/>
      </c>
      <c r="AE25" s="4">
        <f ca="1">COUNTIFS(tbPerfReview[תאריך],"&gt;"&amp;yearAgoCell,tbPerfReview[מאבטח],tbEmploDetails[[#This Row],[שם מלא]])</f>
        <v>0</v>
      </c>
      <c r="AF25" s="133" t="str">
        <f ca="1">IFERROR(AVERAGEIFS(tbPerfReview[ציון],tbPerfReview[מאבטח],tbEmploDetails[[#This Row],[שם מלא]],tbPerfReview[תאריך],"&gt;="&amp;yearAgoCell),"")</f>
        <v/>
      </c>
      <c r="AG25" s="4"/>
      <c r="AH25" s="4">
        <f>COUNTIFS(tbDrills[מאבטח],tbEmploDetails[[#This Row],[שם מלא]])</f>
        <v>0</v>
      </c>
      <c r="AI25" s="4" t="str">
        <f>IFERROR(AVERAGEIFS(tbDrills[ציון],tbDrills[מאבטח],tbEmploDetails[[#This Row],[שם מלא]]),"")</f>
        <v/>
      </c>
      <c r="AJ25" s="4">
        <f ca="1">COUNTIFS(tbDrills[תאריך],"&gt;"&amp;yearAgoCell,tbDrills[מאבטח],tbEmploDetails[[#This Row],[שם מלא]])</f>
        <v>0</v>
      </c>
      <c r="AK25" s="4" t="str">
        <f ca="1">IFERROR(AVERAGEIFS(tbDrills[ציון],tbDrills[מאבטח],tbEmploDetails[[#This Row],[שם מלא]],tbDrills[תאריך],"&gt;="&amp;yearAgoCell),"")</f>
        <v/>
      </c>
      <c r="AL25" t="s">
        <v>659</v>
      </c>
      <c r="AM25" s="370">
        <v>10</v>
      </c>
      <c r="AN25" s="4"/>
      <c r="AO25" s="4"/>
      <c r="AP25" s="4">
        <f>ROW()</f>
        <v>25</v>
      </c>
      <c r="AQ25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הגפן 10 , ירושלים</v>
      </c>
    </row>
    <row r="26" spans="1:43">
      <c r="A26" s="371" t="s">
        <v>411</v>
      </c>
      <c r="B26" s="371" t="s">
        <v>110</v>
      </c>
      <c r="C26" s="4" t="str">
        <f>TRIM(tbEmploDetails[[#This Row],[שם משפחה]])&amp;" "&amp;TRIM(tbEmploDetails[[#This Row],[שם פרטי]])</f>
        <v>זלצר נועה</v>
      </c>
      <c r="D26" t="s">
        <v>483</v>
      </c>
      <c r="E26" t="s">
        <v>538</v>
      </c>
      <c r="F26" t="s">
        <v>585</v>
      </c>
      <c r="G26" t="str">
        <f>TRIM(tbEmploDetails[[#This Row],[כתובת - שם רחוב]]&amp;" "&amp;tbEmploDetails[[#This Row],[כתובת - מס'' רחוב]])</f>
        <v>אלנבי 17</v>
      </c>
      <c r="H26" t="s">
        <v>630</v>
      </c>
      <c r="I26" s="49" t="s">
        <v>35</v>
      </c>
      <c r="J26" s="6"/>
      <c r="L26" t="str">
        <f>TRIM(tbEmploDetails[[#This Row],[איש קשר - שם מלא]] &amp; " (" &amp; tbEmploDetails[[#This Row],[איש קשר - טיב קשר]] &amp; ")")</f>
        <v>()</v>
      </c>
      <c r="M26" s="43">
        <v>42307</v>
      </c>
      <c r="N26" s="4">
        <f ca="1">IF(tbEmploDetails[[#This Row],[תאריך תחילת תעסוקה נוכחית]],TODAY()-tbEmploDetails[[#This Row],[תאריך תחילת תעסוקה נוכחית]],"חסר מידע")</f>
        <v>3251</v>
      </c>
      <c r="O26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10 חודשים</v>
      </c>
      <c r="P26" s="49" t="s">
        <v>120</v>
      </c>
      <c r="Q26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26" s="48">
        <f>MAX(_xlfn.MAXIFS(tbShetchExam[מס'' פעם], tbShetchExam[נבחן],tbEmploDetails[[#This Row],[שם מלא]]))</f>
        <v>0</v>
      </c>
      <c r="S26" t="s">
        <v>40</v>
      </c>
      <c r="T26" t="s">
        <v>42</v>
      </c>
      <c r="U26" t="s">
        <v>93</v>
      </c>
      <c r="V26" s="2">
        <v>45422</v>
      </c>
      <c r="W26" s="4">
        <f ca="1">IF(tbEmploDetails[[#This Row],[תאריך הצ'' בריאות נוכחית]],EDATE(tbEmploDetails[[#This Row],[תאריך הצ'' בריאות נוכחית]],12)-TODAY(),"")</f>
        <v>229</v>
      </c>
      <c r="X26" s="4">
        <f>COUNTIFS(tbLate[איחור בדק''/חור],"&lt;&gt;חור",tbLate[שם המאחר],tbEmploDetails[[#This Row],[שם מלא]])</f>
        <v>0</v>
      </c>
      <c r="Y26" s="4">
        <f>COUNTIFS(tbLate[איחור בדק''/חור],"חור",tbLate[שם המאחר],tbEmploDetails[[#This Row],[שם מלא]])</f>
        <v>0</v>
      </c>
      <c r="Z26" s="133" t="str">
        <f>IFERROR(AVERAGEIFS(tbLate[איחור בדק''/חור],tbLate[שם המאחר],tbEmploDetails[[#This Row],[שם מלא]]),"")</f>
        <v/>
      </c>
      <c r="AA26" s="4">
        <f ca="1">COUNTIFS(tbLate[שם המאחר],tbEmploDetails[[#This Row],[שם מלא]],tbLate[תאריך],"&gt;"&amp;months2AgoCell,tbLate[מס''דק''איחור],"&gt;0")</f>
        <v>0</v>
      </c>
      <c r="AB26" s="4">
        <f ca="1">COUNTIFS(tbLate[שם המאחר],tbEmploDetails[[#This Row],[שם מלא]],tbLate[תאריך],"&gt;"&amp;months2AgoCell,tbLate[האם חור],"&gt;0")</f>
        <v>0</v>
      </c>
      <c r="AC26" s="4">
        <f>COUNTIFS(tbPerfReview[מאבטח],tbEmploDetails[[#This Row],[שם מלא]])</f>
        <v>0</v>
      </c>
      <c r="AD26" s="133" t="str">
        <f>IFERROR(AVERAGEIFS(tbPerfReview[ציון],tbPerfReview[מאבטח],tbEmploDetails[[#This Row],[שם מלא]]),"")</f>
        <v/>
      </c>
      <c r="AE26" s="4">
        <f ca="1">COUNTIFS(tbPerfReview[תאריך],"&gt;"&amp;yearAgoCell,tbPerfReview[מאבטח],tbEmploDetails[[#This Row],[שם מלא]])</f>
        <v>0</v>
      </c>
      <c r="AF26" s="133" t="str">
        <f ca="1">IFERROR(AVERAGEIFS(tbPerfReview[ציון],tbPerfReview[מאבטח],tbEmploDetails[[#This Row],[שם מלא]],tbPerfReview[תאריך],"&gt;="&amp;yearAgoCell),"")</f>
        <v/>
      </c>
      <c r="AG26" s="4"/>
      <c r="AH26" s="4">
        <f>COUNTIFS(tbDrills[מאבטח],tbEmploDetails[[#This Row],[שם מלא]])</f>
        <v>0</v>
      </c>
      <c r="AI26" s="4" t="str">
        <f>IFERROR(AVERAGEIFS(tbDrills[ציון],tbDrills[מאבטח],tbEmploDetails[[#This Row],[שם מלא]]),"")</f>
        <v/>
      </c>
      <c r="AJ26" s="4">
        <f ca="1">COUNTIFS(tbDrills[תאריך],"&gt;"&amp;yearAgoCell,tbDrills[מאבטח],tbEmploDetails[[#This Row],[שם מלא]])</f>
        <v>0</v>
      </c>
      <c r="AK26" s="4" t="str">
        <f ca="1">IFERROR(AVERAGEIFS(tbDrills[ציון],tbDrills[מאבטח],tbEmploDetails[[#This Row],[שם מלא]],tbDrills[תאריך],"&gt;="&amp;yearAgoCell),"")</f>
        <v/>
      </c>
      <c r="AL26" t="s">
        <v>660</v>
      </c>
      <c r="AM26" s="370">
        <v>17</v>
      </c>
      <c r="AN26" s="4"/>
      <c r="AO26" s="4"/>
      <c r="AP26" s="4">
        <f>ROW()</f>
        <v>26</v>
      </c>
      <c r="AQ26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אלנבי 17 , תל אביב</v>
      </c>
    </row>
    <row r="27" spans="1:43">
      <c r="A27" s="371" t="s">
        <v>412</v>
      </c>
      <c r="B27" s="371" t="s">
        <v>413</v>
      </c>
      <c r="C27" s="4" t="str">
        <f>TRIM(tbEmploDetails[[#This Row],[שם משפחה]])&amp;" "&amp;TRIM(tbEmploDetails[[#This Row],[שם פרטי]])</f>
        <v>שמר גל</v>
      </c>
      <c r="D27" t="s">
        <v>484</v>
      </c>
      <c r="E27" t="s">
        <v>539</v>
      </c>
      <c r="F27" t="s">
        <v>586</v>
      </c>
      <c r="G27" t="str">
        <f>TRIM(tbEmploDetails[[#This Row],[כתובת - שם רחוב]]&amp;" "&amp;tbEmploDetails[[#This Row],[כתובת - מס'' רחוב]])</f>
        <v>אבן גבירול 68</v>
      </c>
      <c r="H27" t="s">
        <v>637</v>
      </c>
      <c r="I27" s="49" t="s">
        <v>35</v>
      </c>
      <c r="J27" s="6"/>
      <c r="L27" t="str">
        <f>TRIM(tbEmploDetails[[#This Row],[איש קשר - שם מלא]] &amp; " (" &amp; tbEmploDetails[[#This Row],[איש קשר - טיב קשר]] &amp; ")")</f>
        <v>()</v>
      </c>
      <c r="M27" s="43">
        <v>42388</v>
      </c>
      <c r="N27" s="4">
        <f ca="1">IF(tbEmploDetails[[#This Row],[תאריך תחילת תעסוקה נוכחית]],TODAY()-tbEmploDetails[[#This Row],[תאריך תחילת תעסוקה נוכחית]],"חסר מידע")</f>
        <v>3170</v>
      </c>
      <c r="O27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8 חודשים</v>
      </c>
      <c r="P27" s="49" t="s">
        <v>120</v>
      </c>
      <c r="Q27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27" s="48">
        <f>MAX(_xlfn.MAXIFS(tbShetchExam[מס'' פעם], tbShetchExam[נבחן],tbEmploDetails[[#This Row],[שם מלא]]))</f>
        <v>0</v>
      </c>
      <c r="S27" t="s">
        <v>40</v>
      </c>
      <c r="T27" t="s">
        <v>42</v>
      </c>
      <c r="U27" t="s">
        <v>93</v>
      </c>
      <c r="V27" s="2">
        <v>45461</v>
      </c>
      <c r="W27" s="4">
        <f ca="1">IF(tbEmploDetails[[#This Row],[תאריך הצ'' בריאות נוכחית]],EDATE(tbEmploDetails[[#This Row],[תאריך הצ'' בריאות נוכחית]],12)-TODAY(),"")</f>
        <v>268</v>
      </c>
      <c r="X27" s="4">
        <f>COUNTIFS(tbLate[איחור בדק''/חור],"&lt;&gt;חור",tbLate[שם המאחר],tbEmploDetails[[#This Row],[שם מלא]])</f>
        <v>0</v>
      </c>
      <c r="Y27" s="4">
        <f>COUNTIFS(tbLate[איחור בדק''/חור],"חור",tbLate[שם המאחר],tbEmploDetails[[#This Row],[שם מלא]])</f>
        <v>0</v>
      </c>
      <c r="Z27" s="133" t="str">
        <f>IFERROR(AVERAGEIFS(tbLate[איחור בדק''/חור],tbLate[שם המאחר],tbEmploDetails[[#This Row],[שם מלא]]),"")</f>
        <v/>
      </c>
      <c r="AA27" s="4">
        <f ca="1">COUNTIFS(tbLate[שם המאחר],tbEmploDetails[[#This Row],[שם מלא]],tbLate[תאריך],"&gt;"&amp;months2AgoCell,tbLate[מס''דק''איחור],"&gt;0")</f>
        <v>0</v>
      </c>
      <c r="AB27" s="4">
        <f ca="1">COUNTIFS(tbLate[שם המאחר],tbEmploDetails[[#This Row],[שם מלא]],tbLate[תאריך],"&gt;"&amp;months2AgoCell,tbLate[האם חור],"&gt;0")</f>
        <v>0</v>
      </c>
      <c r="AC27" s="4">
        <f>COUNTIFS(tbPerfReview[מאבטח],tbEmploDetails[[#This Row],[שם מלא]])</f>
        <v>0</v>
      </c>
      <c r="AD27" s="133" t="str">
        <f>IFERROR(AVERAGEIFS(tbPerfReview[ציון],tbPerfReview[מאבטח],tbEmploDetails[[#This Row],[שם מלא]]),"")</f>
        <v/>
      </c>
      <c r="AE27" s="4">
        <f ca="1">COUNTIFS(tbPerfReview[תאריך],"&gt;"&amp;yearAgoCell,tbPerfReview[מאבטח],tbEmploDetails[[#This Row],[שם מלא]])</f>
        <v>0</v>
      </c>
      <c r="AF27" s="133" t="str">
        <f ca="1">IFERROR(AVERAGEIFS(tbPerfReview[ציון],tbPerfReview[מאבטח],tbEmploDetails[[#This Row],[שם מלא]],tbPerfReview[תאריך],"&gt;="&amp;yearAgoCell),"")</f>
        <v/>
      </c>
      <c r="AG27" s="4"/>
      <c r="AH27" s="4">
        <f>COUNTIFS(tbDrills[מאבטח],tbEmploDetails[[#This Row],[שם מלא]])</f>
        <v>0</v>
      </c>
      <c r="AI27" s="4" t="str">
        <f>IFERROR(AVERAGEIFS(tbDrills[ציון],tbDrills[מאבטח],tbEmploDetails[[#This Row],[שם מלא]]),"")</f>
        <v/>
      </c>
      <c r="AJ27" s="4">
        <f ca="1">COUNTIFS(tbDrills[תאריך],"&gt;"&amp;yearAgoCell,tbDrills[מאבטח],tbEmploDetails[[#This Row],[שם מלא]])</f>
        <v>0</v>
      </c>
      <c r="AK27" s="4" t="str">
        <f ca="1">IFERROR(AVERAGEIFS(tbDrills[ציון],tbDrills[מאבטח],tbEmploDetails[[#This Row],[שם מלא]],tbDrills[תאריך],"&gt;="&amp;yearAgoCell),"")</f>
        <v/>
      </c>
      <c r="AL27" t="s">
        <v>661</v>
      </c>
      <c r="AM27" s="370">
        <v>68</v>
      </c>
      <c r="AN27" s="4"/>
      <c r="AO27" s="4"/>
      <c r="AP27" s="4">
        <f>ROW()</f>
        <v>27</v>
      </c>
      <c r="AQ27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אבן גבירול 68 , פתח תקווה</v>
      </c>
    </row>
    <row r="28" spans="1:43">
      <c r="A28" s="371" t="s">
        <v>414</v>
      </c>
      <c r="B28" s="371" t="s">
        <v>356</v>
      </c>
      <c r="C28" s="4" t="str">
        <f>TRIM(tbEmploDetails[[#This Row],[שם משפחה]])&amp;" "&amp;TRIM(tbEmploDetails[[#This Row],[שם פרטי]])</f>
        <v>לרנר יובל</v>
      </c>
      <c r="D28" t="s">
        <v>485</v>
      </c>
      <c r="E28" t="s">
        <v>540</v>
      </c>
      <c r="F28" t="s">
        <v>587</v>
      </c>
      <c r="G28" t="str">
        <f>TRIM(tbEmploDetails[[#This Row],[כתובת - שם רחוב]]&amp;" "&amp;tbEmploDetails[[#This Row],[כתובת - מס'' רחוב]])</f>
        <v>ביאליק 23</v>
      </c>
      <c r="H28" t="s">
        <v>634</v>
      </c>
      <c r="I28" s="49" t="s">
        <v>35</v>
      </c>
      <c r="J28" s="6"/>
      <c r="L28" t="str">
        <f>TRIM(tbEmploDetails[[#This Row],[איש קשר - שם מלא]] &amp; " (" &amp; tbEmploDetails[[#This Row],[איש קשר - טיב קשר]] &amp; ")")</f>
        <v>()</v>
      </c>
      <c r="M28" s="43">
        <v>43711</v>
      </c>
      <c r="N28" s="4">
        <f ca="1">IF(tbEmploDetails[[#This Row],[תאריך תחילת תעסוקה נוכחית]],TODAY()-tbEmploDetails[[#This Row],[תאריך תחילת תעסוקה נוכחית]],"חסר מידע")</f>
        <v>1847</v>
      </c>
      <c r="O28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5 שנים, 15 ימים</v>
      </c>
      <c r="P28" s="49" t="s">
        <v>120</v>
      </c>
      <c r="Q28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28" s="48">
        <f>MAX(_xlfn.MAXIFS(tbShetchExam[מס'' פעם], tbShetchExam[נבחן],tbEmploDetails[[#This Row],[שם מלא]]))</f>
        <v>0</v>
      </c>
      <c r="S28" t="s">
        <v>40</v>
      </c>
      <c r="T28" t="s">
        <v>42</v>
      </c>
      <c r="U28" t="s">
        <v>93</v>
      </c>
      <c r="V28" s="2">
        <v>45476</v>
      </c>
      <c r="W28" s="4">
        <f ca="1">IF(tbEmploDetails[[#This Row],[תאריך הצ'' בריאות נוכחית]],EDATE(tbEmploDetails[[#This Row],[תאריך הצ'' בריאות נוכחית]],12)-TODAY(),"")</f>
        <v>283</v>
      </c>
      <c r="X28" s="4">
        <f>COUNTIFS(tbLate[איחור בדק''/חור],"&lt;&gt;חור",tbLate[שם המאחר],tbEmploDetails[[#This Row],[שם מלא]])</f>
        <v>0</v>
      </c>
      <c r="Y28" s="4">
        <f>COUNTIFS(tbLate[איחור בדק''/חור],"חור",tbLate[שם המאחר],tbEmploDetails[[#This Row],[שם מלא]])</f>
        <v>0</v>
      </c>
      <c r="Z28" s="133" t="str">
        <f>IFERROR(AVERAGEIFS(tbLate[איחור בדק''/חור],tbLate[שם המאחר],tbEmploDetails[[#This Row],[שם מלא]]),"")</f>
        <v/>
      </c>
      <c r="AA28" s="4">
        <f ca="1">COUNTIFS(tbLate[שם המאחר],tbEmploDetails[[#This Row],[שם מלא]],tbLate[תאריך],"&gt;"&amp;months2AgoCell,tbLate[מס''דק''איחור],"&gt;0")</f>
        <v>0</v>
      </c>
      <c r="AB28" s="4">
        <f ca="1">COUNTIFS(tbLate[שם המאחר],tbEmploDetails[[#This Row],[שם מלא]],tbLate[תאריך],"&gt;"&amp;months2AgoCell,tbLate[האם חור],"&gt;0")</f>
        <v>0</v>
      </c>
      <c r="AC28" s="4">
        <f>COUNTIFS(tbPerfReview[מאבטח],tbEmploDetails[[#This Row],[שם מלא]])</f>
        <v>0</v>
      </c>
      <c r="AD28" s="133" t="str">
        <f>IFERROR(AVERAGEIFS(tbPerfReview[ציון],tbPerfReview[מאבטח],tbEmploDetails[[#This Row],[שם מלא]]),"")</f>
        <v/>
      </c>
      <c r="AE28" s="4">
        <f ca="1">COUNTIFS(tbPerfReview[תאריך],"&gt;"&amp;yearAgoCell,tbPerfReview[מאבטח],tbEmploDetails[[#This Row],[שם מלא]])</f>
        <v>0</v>
      </c>
      <c r="AF28" s="133" t="str">
        <f ca="1">IFERROR(AVERAGEIFS(tbPerfReview[ציון],tbPerfReview[מאבטח],tbEmploDetails[[#This Row],[שם מלא]],tbPerfReview[תאריך],"&gt;="&amp;yearAgoCell),"")</f>
        <v/>
      </c>
      <c r="AG28" s="4"/>
      <c r="AH28" s="4">
        <f>COUNTIFS(tbDrills[מאבטח],tbEmploDetails[[#This Row],[שם מלא]])</f>
        <v>0</v>
      </c>
      <c r="AI28" s="4" t="str">
        <f>IFERROR(AVERAGEIFS(tbDrills[ציון],tbDrills[מאבטח],tbEmploDetails[[#This Row],[שם מלא]]),"")</f>
        <v/>
      </c>
      <c r="AJ28" s="4">
        <f ca="1">COUNTIFS(tbDrills[תאריך],"&gt;"&amp;yearAgoCell,tbDrills[מאבטח],tbEmploDetails[[#This Row],[שם מלא]])</f>
        <v>0</v>
      </c>
      <c r="AK28" s="4" t="str">
        <f ca="1">IFERROR(AVERAGEIFS(tbDrills[ציון],tbDrills[מאבטח],tbEmploDetails[[#This Row],[שם מלא]],tbDrills[תאריך],"&gt;="&amp;yearAgoCell),"")</f>
        <v/>
      </c>
      <c r="AL28" t="s">
        <v>662</v>
      </c>
      <c r="AM28" s="370">
        <v>23</v>
      </c>
      <c r="AN28" s="4"/>
      <c r="AO28" s="4"/>
      <c r="AP28" s="4">
        <f>ROW()</f>
        <v>28</v>
      </c>
      <c r="AQ28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ביאליק 23 , כפר סבא</v>
      </c>
    </row>
    <row r="29" spans="1:43">
      <c r="A29" s="371" t="s">
        <v>415</v>
      </c>
      <c r="B29" s="371" t="s">
        <v>416</v>
      </c>
      <c r="C29" s="4" t="str">
        <f>TRIM(tbEmploDetails[[#This Row],[שם משפחה]])&amp;" "&amp;TRIM(tbEmploDetails[[#This Row],[שם פרטי]])</f>
        <v>קנטור אופיר</v>
      </c>
      <c r="D29" t="s">
        <v>486</v>
      </c>
      <c r="E29" t="s">
        <v>541</v>
      </c>
      <c r="F29" t="s">
        <v>588</v>
      </c>
      <c r="G29" t="str">
        <f>TRIM(tbEmploDetails[[#This Row],[כתובת - שם רחוב]]&amp;" "&amp;tbEmploDetails[[#This Row],[כתובת - מס'' רחוב]])</f>
        <v>יפו 5</v>
      </c>
      <c r="H29" t="s">
        <v>631</v>
      </c>
      <c r="I29" s="49" t="s">
        <v>36</v>
      </c>
      <c r="J29" s="6"/>
      <c r="L29" t="str">
        <f>TRIM(tbEmploDetails[[#This Row],[איש קשר - שם מלא]] &amp; " (" &amp; tbEmploDetails[[#This Row],[איש קשר - טיב קשר]] &amp; ")")</f>
        <v>()</v>
      </c>
      <c r="M29" s="43">
        <v>41754</v>
      </c>
      <c r="N29" s="4">
        <f ca="1">IF(tbEmploDetails[[#This Row],[תאריך תחילת תעסוקה נוכחית]],TODAY()-tbEmploDetails[[#This Row],[תאריך תחילת תעסוקה נוכחית]],"חסר מידע")</f>
        <v>3804</v>
      </c>
      <c r="O29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10 שנים, 4 חודשים</v>
      </c>
      <c r="P29" s="49" t="s">
        <v>120</v>
      </c>
      <c r="Q29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29" s="48">
        <f>MAX(_xlfn.MAXIFS(tbShetchExam[מס'' פעם], tbShetchExam[נבחן],tbEmploDetails[[#This Row],[שם מלא]]))</f>
        <v>0</v>
      </c>
      <c r="S29" t="s">
        <v>41</v>
      </c>
      <c r="T29" t="s">
        <v>43</v>
      </c>
      <c r="U29" t="s">
        <v>93</v>
      </c>
      <c r="V29" s="2">
        <v>45529</v>
      </c>
      <c r="W29" s="4">
        <f ca="1">IF(tbEmploDetails[[#This Row],[תאריך הצ'' בריאות נוכחית]],EDATE(tbEmploDetails[[#This Row],[תאריך הצ'' בריאות נוכחית]],12)-TODAY(),"")</f>
        <v>336</v>
      </c>
      <c r="X29" s="4">
        <f>COUNTIFS(tbLate[איחור בדק''/חור],"&lt;&gt;חור",tbLate[שם המאחר],tbEmploDetails[[#This Row],[שם מלא]])</f>
        <v>0</v>
      </c>
      <c r="Y29" s="4">
        <f>COUNTIFS(tbLate[איחור בדק''/חור],"חור",tbLate[שם המאחר],tbEmploDetails[[#This Row],[שם מלא]])</f>
        <v>0</v>
      </c>
      <c r="Z29" s="133" t="str">
        <f>IFERROR(AVERAGEIFS(tbLate[איחור בדק''/חור],tbLate[שם המאחר],tbEmploDetails[[#This Row],[שם מלא]]),"")</f>
        <v/>
      </c>
      <c r="AA29" s="4">
        <f ca="1">COUNTIFS(tbLate[שם המאחר],tbEmploDetails[[#This Row],[שם מלא]],tbLate[תאריך],"&gt;"&amp;months2AgoCell,tbLate[מס''דק''איחור],"&gt;0")</f>
        <v>0</v>
      </c>
      <c r="AB29" s="4">
        <f ca="1">COUNTIFS(tbLate[שם המאחר],tbEmploDetails[[#This Row],[שם מלא]],tbLate[תאריך],"&gt;"&amp;months2AgoCell,tbLate[האם חור],"&gt;0")</f>
        <v>0</v>
      </c>
      <c r="AC29" s="4">
        <f>COUNTIFS(tbPerfReview[מאבטח],tbEmploDetails[[#This Row],[שם מלא]])</f>
        <v>0</v>
      </c>
      <c r="AD29" s="133" t="str">
        <f>IFERROR(AVERAGEIFS(tbPerfReview[ציון],tbPerfReview[מאבטח],tbEmploDetails[[#This Row],[שם מלא]]),"")</f>
        <v/>
      </c>
      <c r="AE29" s="4">
        <f ca="1">COUNTIFS(tbPerfReview[תאריך],"&gt;"&amp;yearAgoCell,tbPerfReview[מאבטח],tbEmploDetails[[#This Row],[שם מלא]])</f>
        <v>0</v>
      </c>
      <c r="AF29" s="133" t="str">
        <f ca="1">IFERROR(AVERAGEIFS(tbPerfReview[ציון],tbPerfReview[מאבטח],tbEmploDetails[[#This Row],[שם מלא]],tbPerfReview[תאריך],"&gt;="&amp;yearAgoCell),"")</f>
        <v/>
      </c>
      <c r="AG29" s="4"/>
      <c r="AH29" s="4">
        <f>COUNTIFS(tbDrills[מאבטח],tbEmploDetails[[#This Row],[שם מלא]])</f>
        <v>0</v>
      </c>
      <c r="AI29" s="4" t="str">
        <f>IFERROR(AVERAGEIFS(tbDrills[ציון],tbDrills[מאבטח],tbEmploDetails[[#This Row],[שם מלא]]),"")</f>
        <v/>
      </c>
      <c r="AJ29" s="4">
        <f ca="1">COUNTIFS(tbDrills[תאריך],"&gt;"&amp;yearAgoCell,tbDrills[מאבטח],tbEmploDetails[[#This Row],[שם מלא]])</f>
        <v>0</v>
      </c>
      <c r="AK29" s="4" t="str">
        <f ca="1">IFERROR(AVERAGEIFS(tbDrills[ציון],tbDrills[מאבטח],tbEmploDetails[[#This Row],[שם מלא]],tbDrills[תאריך],"&gt;="&amp;yearAgoCell),"")</f>
        <v/>
      </c>
      <c r="AL29" t="s">
        <v>663</v>
      </c>
      <c r="AM29" s="370">
        <v>5</v>
      </c>
      <c r="AN29" s="4"/>
      <c r="AO29" s="4"/>
      <c r="AP29" s="4">
        <f>ROW()</f>
        <v>29</v>
      </c>
      <c r="AQ29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יפו 5 , חיפה</v>
      </c>
    </row>
    <row r="30" spans="1:43">
      <c r="A30" s="371" t="s">
        <v>417</v>
      </c>
      <c r="B30" s="371" t="s">
        <v>418</v>
      </c>
      <c r="C30" s="4" t="str">
        <f>TRIM(tbEmploDetails[[#This Row],[שם משפחה]])&amp;" "&amp;TRIM(tbEmploDetails[[#This Row],[שם פרטי]])</f>
        <v>אבידן שירה</v>
      </c>
      <c r="D30" t="s">
        <v>487</v>
      </c>
      <c r="E30" t="s">
        <v>542</v>
      </c>
      <c r="F30" t="s">
        <v>589</v>
      </c>
      <c r="G30" t="str">
        <f>TRIM(tbEmploDetails[[#This Row],[כתובת - שם רחוב]]&amp;" "&amp;tbEmploDetails[[#This Row],[כתובת - מס'' רחוב]])</f>
        <v>בורוכוב 9</v>
      </c>
      <c r="H30" t="s">
        <v>649</v>
      </c>
      <c r="I30" s="49" t="s">
        <v>35</v>
      </c>
      <c r="J30" s="6"/>
      <c r="L30" t="str">
        <f>TRIM(tbEmploDetails[[#This Row],[איש קשר - שם מלא]] &amp; " (" &amp; tbEmploDetails[[#This Row],[איש קשר - טיב קשר]] &amp; ")")</f>
        <v>()</v>
      </c>
      <c r="M30" s="43">
        <v>44901</v>
      </c>
      <c r="N30" s="4">
        <f ca="1">IF(tbEmploDetails[[#This Row],[תאריך תחילת תעסוקה נוכחית]],TODAY()-tbEmploDetails[[#This Row],[תאריך תחילת תעסוקה נוכחית]],"חסר מידע")</f>
        <v>657</v>
      </c>
      <c r="O30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 שנים, 9 חודשים</v>
      </c>
      <c r="P30" s="49" t="s">
        <v>120</v>
      </c>
      <c r="Q30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30" s="48">
        <f>MAX(_xlfn.MAXIFS(tbShetchExam[מס'' פעם], tbShetchExam[נבחן],tbEmploDetails[[#This Row],[שם מלא]]))</f>
        <v>0</v>
      </c>
      <c r="S30" t="s">
        <v>40</v>
      </c>
      <c r="T30" t="s">
        <v>42</v>
      </c>
      <c r="U30" t="s">
        <v>98</v>
      </c>
      <c r="V30" s="2">
        <v>45476</v>
      </c>
      <c r="W30" s="4">
        <f ca="1">IF(tbEmploDetails[[#This Row],[תאריך הצ'' בריאות נוכחית]],EDATE(tbEmploDetails[[#This Row],[תאריך הצ'' בריאות נוכחית]],12)-TODAY(),"")</f>
        <v>283</v>
      </c>
      <c r="X30" s="4">
        <f>COUNTIFS(tbLate[איחור בדק''/חור],"&lt;&gt;חור",tbLate[שם המאחר],tbEmploDetails[[#This Row],[שם מלא]])</f>
        <v>0</v>
      </c>
      <c r="Y30" s="4">
        <f>COUNTIFS(tbLate[איחור בדק''/חור],"חור",tbLate[שם המאחר],tbEmploDetails[[#This Row],[שם מלא]])</f>
        <v>0</v>
      </c>
      <c r="Z30" s="133" t="str">
        <f>IFERROR(AVERAGEIFS(tbLate[איחור בדק''/חור],tbLate[שם המאחר],tbEmploDetails[[#This Row],[שם מלא]]),"")</f>
        <v/>
      </c>
      <c r="AA30" s="4">
        <f ca="1">COUNTIFS(tbLate[שם המאחר],tbEmploDetails[[#This Row],[שם מלא]],tbLate[תאריך],"&gt;"&amp;months2AgoCell,tbLate[מס''דק''איחור],"&gt;0")</f>
        <v>0</v>
      </c>
      <c r="AB30" s="4">
        <f ca="1">COUNTIFS(tbLate[שם המאחר],tbEmploDetails[[#This Row],[שם מלא]],tbLate[תאריך],"&gt;"&amp;months2AgoCell,tbLate[האם חור],"&gt;0")</f>
        <v>0</v>
      </c>
      <c r="AC30" s="4">
        <f>COUNTIFS(tbPerfReview[מאבטח],tbEmploDetails[[#This Row],[שם מלא]])</f>
        <v>0</v>
      </c>
      <c r="AD30" s="133" t="str">
        <f>IFERROR(AVERAGEIFS(tbPerfReview[ציון],tbPerfReview[מאבטח],tbEmploDetails[[#This Row],[שם מלא]]),"")</f>
        <v/>
      </c>
      <c r="AE30" s="4">
        <f ca="1">COUNTIFS(tbPerfReview[תאריך],"&gt;"&amp;yearAgoCell,tbPerfReview[מאבטח],tbEmploDetails[[#This Row],[שם מלא]])</f>
        <v>0</v>
      </c>
      <c r="AF30" s="133" t="str">
        <f ca="1">IFERROR(AVERAGEIFS(tbPerfReview[ציון],tbPerfReview[מאבטח],tbEmploDetails[[#This Row],[שם מלא]],tbPerfReview[תאריך],"&gt;="&amp;yearAgoCell),"")</f>
        <v/>
      </c>
      <c r="AG30" s="4"/>
      <c r="AH30" s="4">
        <f>COUNTIFS(tbDrills[מאבטח],tbEmploDetails[[#This Row],[שם מלא]])</f>
        <v>0</v>
      </c>
      <c r="AI30" s="4" t="str">
        <f>IFERROR(AVERAGEIFS(tbDrills[ציון],tbDrills[מאבטח],tbEmploDetails[[#This Row],[שם מלא]]),"")</f>
        <v/>
      </c>
      <c r="AJ30" s="4">
        <f ca="1">COUNTIFS(tbDrills[תאריך],"&gt;"&amp;yearAgoCell,tbDrills[מאבטח],tbEmploDetails[[#This Row],[שם מלא]])</f>
        <v>0</v>
      </c>
      <c r="AK30" s="4" t="str">
        <f ca="1">IFERROR(AVERAGEIFS(tbDrills[ציון],tbDrills[מאבטח],tbEmploDetails[[#This Row],[שם מלא]],tbDrills[תאריך],"&gt;="&amp;yearAgoCell),"")</f>
        <v/>
      </c>
      <c r="AL30" t="s">
        <v>360</v>
      </c>
      <c r="AM30" s="370">
        <v>9</v>
      </c>
      <c r="AN30" s="4"/>
      <c r="AO30" s="4"/>
      <c r="AP30" s="4">
        <f>ROW()</f>
        <v>30</v>
      </c>
      <c r="AQ30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בורוכוב 9 , רחובות</v>
      </c>
    </row>
    <row r="31" spans="1:43">
      <c r="A31" s="371" t="s">
        <v>419</v>
      </c>
      <c r="B31" s="371" t="s">
        <v>420</v>
      </c>
      <c r="C31" s="4" t="str">
        <f>TRIM(tbEmploDetails[[#This Row],[שם משפחה]])&amp;" "&amp;TRIM(tbEmploDetails[[#This Row],[שם פרטי]])</f>
        <v>ברוש עידן</v>
      </c>
      <c r="D31" t="s">
        <v>488</v>
      </c>
      <c r="E31" t="s">
        <v>543</v>
      </c>
      <c r="F31" t="s">
        <v>590</v>
      </c>
      <c r="G31" t="str">
        <f>TRIM(tbEmploDetails[[#This Row],[כתובת - שם רחוב]]&amp;" "&amp;tbEmploDetails[[#This Row],[כתובת - מס'' רחוב]])</f>
        <v>ארלוזורוב 11</v>
      </c>
      <c r="H31" t="s">
        <v>650</v>
      </c>
      <c r="I31" s="49" t="s">
        <v>35</v>
      </c>
      <c r="J31" s="6"/>
      <c r="L31" t="str">
        <f>TRIM(tbEmploDetails[[#This Row],[איש קשר - שם מלא]] &amp; " (" &amp; tbEmploDetails[[#This Row],[איש קשר - טיב קשר]] &amp; ")")</f>
        <v>()</v>
      </c>
      <c r="M31" s="43">
        <v>42611</v>
      </c>
      <c r="N31" s="4">
        <f ca="1">IF(tbEmploDetails[[#This Row],[תאריך תחילת תעסוקה נוכחית]],TODAY()-tbEmploDetails[[#This Row],[תאריך תחילת תעסוקה נוכחית]],"חסר מידע")</f>
        <v>2947</v>
      </c>
      <c r="O31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4 ימים</v>
      </c>
      <c r="P31" s="49" t="s">
        <v>120</v>
      </c>
      <c r="Q31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31" s="48">
        <f>MAX(_xlfn.MAXIFS(tbShetchExam[מס'' פעם], tbShetchExam[נבחן],tbEmploDetails[[#This Row],[שם מלא]]))</f>
        <v>0</v>
      </c>
      <c r="S31" t="s">
        <v>40</v>
      </c>
      <c r="T31" t="s">
        <v>42</v>
      </c>
      <c r="U31" t="s">
        <v>93</v>
      </c>
      <c r="V31" s="2">
        <v>45529</v>
      </c>
      <c r="W31" s="4">
        <f ca="1">IF(tbEmploDetails[[#This Row],[תאריך הצ'' בריאות נוכחית]],EDATE(tbEmploDetails[[#This Row],[תאריך הצ'' בריאות נוכחית]],12)-TODAY(),"")</f>
        <v>336</v>
      </c>
      <c r="X31" s="4">
        <f>COUNTIFS(tbLate[איחור בדק''/חור],"&lt;&gt;חור",tbLate[שם המאחר],tbEmploDetails[[#This Row],[שם מלא]])</f>
        <v>0</v>
      </c>
      <c r="Y31" s="4">
        <f>COUNTIFS(tbLate[איחור בדק''/חור],"חור",tbLate[שם המאחר],tbEmploDetails[[#This Row],[שם מלא]])</f>
        <v>0</v>
      </c>
      <c r="Z31" s="133" t="str">
        <f>IFERROR(AVERAGEIFS(tbLate[איחור בדק''/חור],tbLate[שם המאחר],tbEmploDetails[[#This Row],[שם מלא]]),"")</f>
        <v/>
      </c>
      <c r="AA31" s="4">
        <f ca="1">COUNTIFS(tbLate[שם המאחר],tbEmploDetails[[#This Row],[שם מלא]],tbLate[תאריך],"&gt;"&amp;months2AgoCell,tbLate[מס''דק''איחור],"&gt;0")</f>
        <v>0</v>
      </c>
      <c r="AB31" s="4">
        <f ca="1">COUNTIFS(tbLate[שם המאחר],tbEmploDetails[[#This Row],[שם מלא]],tbLate[תאריך],"&gt;"&amp;months2AgoCell,tbLate[האם חור],"&gt;0")</f>
        <v>0</v>
      </c>
      <c r="AC31" s="4">
        <f>COUNTIFS(tbPerfReview[מאבטח],tbEmploDetails[[#This Row],[שם מלא]])</f>
        <v>0</v>
      </c>
      <c r="AD31" s="133" t="str">
        <f>IFERROR(AVERAGEIFS(tbPerfReview[ציון],tbPerfReview[מאבטח],tbEmploDetails[[#This Row],[שם מלא]]),"")</f>
        <v/>
      </c>
      <c r="AE31" s="4">
        <f ca="1">COUNTIFS(tbPerfReview[תאריך],"&gt;"&amp;yearAgoCell,tbPerfReview[מאבטח],tbEmploDetails[[#This Row],[שם מלא]])</f>
        <v>0</v>
      </c>
      <c r="AF31" s="133" t="str">
        <f ca="1">IFERROR(AVERAGEIFS(tbPerfReview[ציון],tbPerfReview[מאבטח],tbEmploDetails[[#This Row],[שם מלא]],tbPerfReview[תאריך],"&gt;="&amp;yearAgoCell),"")</f>
        <v/>
      </c>
      <c r="AG31" s="4"/>
      <c r="AH31" s="4">
        <f>COUNTIFS(tbDrills[מאבטח],tbEmploDetails[[#This Row],[שם מלא]])</f>
        <v>0</v>
      </c>
      <c r="AI31" s="4" t="str">
        <f>IFERROR(AVERAGEIFS(tbDrills[ציון],tbDrills[מאבטח],tbEmploDetails[[#This Row],[שם מלא]]),"")</f>
        <v/>
      </c>
      <c r="AJ31" s="4">
        <f ca="1">COUNTIFS(tbDrills[תאריך],"&gt;"&amp;yearAgoCell,tbDrills[מאבטח],tbEmploDetails[[#This Row],[שם מלא]])</f>
        <v>0</v>
      </c>
      <c r="AK31" s="4" t="str">
        <f ca="1">IFERROR(AVERAGEIFS(tbDrills[ציון],tbDrills[מאבטח],tbEmploDetails[[#This Row],[שם מלא]],tbDrills[תאריך],"&gt;="&amp;yearAgoCell),"")</f>
        <v/>
      </c>
      <c r="AL31" t="s">
        <v>664</v>
      </c>
      <c r="AM31" s="370">
        <v>11</v>
      </c>
      <c r="AN31" s="4"/>
      <c r="AO31" s="4"/>
      <c r="AP31" s="4">
        <f>ROW()</f>
        <v>31</v>
      </c>
      <c r="AQ31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ארלוזורוב 11 , גבעת שמואל</v>
      </c>
    </row>
    <row r="32" spans="1:43">
      <c r="A32" s="371" t="s">
        <v>394</v>
      </c>
      <c r="B32" s="371" t="s">
        <v>421</v>
      </c>
      <c r="C32" s="4" t="str">
        <f>TRIM(tbEmploDetails[[#This Row],[שם משפחה]])&amp;" "&amp;TRIM(tbEmploDetails[[#This Row],[שם פרטי]])</f>
        <v>שדה יערה</v>
      </c>
      <c r="D32" t="s">
        <v>489</v>
      </c>
      <c r="E32" t="s">
        <v>537</v>
      </c>
      <c r="F32" t="s">
        <v>591</v>
      </c>
      <c r="G32" t="str">
        <f>TRIM(tbEmploDetails[[#This Row],[כתובת - שם רחוב]]&amp;" "&amp;tbEmploDetails[[#This Row],[כתובת - מס'' רחוב]])</f>
        <v>קפלן 19</v>
      </c>
      <c r="H32" t="s">
        <v>651</v>
      </c>
      <c r="I32" s="49" t="s">
        <v>35</v>
      </c>
      <c r="J32" s="6"/>
      <c r="L32" t="str">
        <f>TRIM(tbEmploDetails[[#This Row],[איש קשר - שם מלא]] &amp; " (" &amp; tbEmploDetails[[#This Row],[איש קשר - טיב קשר]] &amp; ")")</f>
        <v>()</v>
      </c>
      <c r="M32" s="43">
        <v>43232</v>
      </c>
      <c r="N32" s="4">
        <f ca="1">IF(tbEmploDetails[[#This Row],[תאריך תחילת תעסוקה נוכחית]],TODAY()-tbEmploDetails[[#This Row],[תאריך תחילת תעסוקה נוכחית]],"חסר מידע")</f>
        <v>2326</v>
      </c>
      <c r="O32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6 שנים, 4 חודשים</v>
      </c>
      <c r="P32" s="49" t="s">
        <v>272</v>
      </c>
      <c r="Q32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32" s="48">
        <f>MAX(_xlfn.MAXIFS(tbShetchExam[מס'' פעם], tbShetchExam[נבחן],tbEmploDetails[[#This Row],[שם מלא]]))</f>
        <v>0</v>
      </c>
      <c r="S32" t="s">
        <v>40</v>
      </c>
      <c r="T32" t="s">
        <v>42</v>
      </c>
      <c r="U32" t="s">
        <v>93</v>
      </c>
      <c r="V32" s="2">
        <v>45571</v>
      </c>
      <c r="W32" s="4">
        <f ca="1">IF(tbEmploDetails[[#This Row],[תאריך הצ'' בריאות נוכחית]],EDATE(tbEmploDetails[[#This Row],[תאריך הצ'' בריאות נוכחית]],12)-TODAY(),"")</f>
        <v>378</v>
      </c>
      <c r="X32" s="4">
        <f>COUNTIFS(tbLate[איחור בדק''/חור],"&lt;&gt;חור",tbLate[שם המאחר],tbEmploDetails[[#This Row],[שם מלא]])</f>
        <v>0</v>
      </c>
      <c r="Y32" s="4">
        <f>COUNTIFS(tbLate[איחור בדק''/חור],"חור",tbLate[שם המאחר],tbEmploDetails[[#This Row],[שם מלא]])</f>
        <v>0</v>
      </c>
      <c r="Z32" s="133" t="str">
        <f>IFERROR(AVERAGEIFS(tbLate[איחור בדק''/חור],tbLate[שם המאחר],tbEmploDetails[[#This Row],[שם מלא]]),"")</f>
        <v/>
      </c>
      <c r="AA32" s="4">
        <f ca="1">COUNTIFS(tbLate[שם המאחר],tbEmploDetails[[#This Row],[שם מלא]],tbLate[תאריך],"&gt;"&amp;months2AgoCell,tbLate[מס''דק''איחור],"&gt;0")</f>
        <v>0</v>
      </c>
      <c r="AB32" s="4">
        <f ca="1">COUNTIFS(tbLate[שם המאחר],tbEmploDetails[[#This Row],[שם מלא]],tbLate[תאריך],"&gt;"&amp;months2AgoCell,tbLate[האם חור],"&gt;0")</f>
        <v>0</v>
      </c>
      <c r="AC32" s="4">
        <f>COUNTIFS(tbPerfReview[מאבטח],tbEmploDetails[[#This Row],[שם מלא]])</f>
        <v>0</v>
      </c>
      <c r="AD32" s="133" t="str">
        <f>IFERROR(AVERAGEIFS(tbPerfReview[ציון],tbPerfReview[מאבטח],tbEmploDetails[[#This Row],[שם מלא]]),"")</f>
        <v/>
      </c>
      <c r="AE32" s="4">
        <f ca="1">COUNTIFS(tbPerfReview[תאריך],"&gt;"&amp;yearAgoCell,tbPerfReview[מאבטח],tbEmploDetails[[#This Row],[שם מלא]])</f>
        <v>0</v>
      </c>
      <c r="AF32" s="133" t="str">
        <f ca="1">IFERROR(AVERAGEIFS(tbPerfReview[ציון],tbPerfReview[מאבטח],tbEmploDetails[[#This Row],[שם מלא]],tbPerfReview[תאריך],"&gt;="&amp;yearAgoCell),"")</f>
        <v/>
      </c>
      <c r="AG32" s="4"/>
      <c r="AH32" s="4">
        <f>COUNTIFS(tbDrills[מאבטח],tbEmploDetails[[#This Row],[שם מלא]])</f>
        <v>0</v>
      </c>
      <c r="AI32" s="4" t="str">
        <f>IFERROR(AVERAGEIFS(tbDrills[ציון],tbDrills[מאבטח],tbEmploDetails[[#This Row],[שם מלא]]),"")</f>
        <v/>
      </c>
      <c r="AJ32" s="4">
        <f ca="1">COUNTIFS(tbDrills[תאריך],"&gt;"&amp;yearAgoCell,tbDrills[מאבטח],tbEmploDetails[[#This Row],[שם מלא]])</f>
        <v>0</v>
      </c>
      <c r="AK32" s="4" t="str">
        <f ca="1">IFERROR(AVERAGEIFS(tbDrills[ציון],tbDrills[מאבטח],tbEmploDetails[[#This Row],[שם מלא]],tbDrills[תאריך],"&gt;="&amp;yearAgoCell),"")</f>
        <v/>
      </c>
      <c r="AL32" t="s">
        <v>405</v>
      </c>
      <c r="AM32" s="370">
        <v>19</v>
      </c>
      <c r="AN32" s="4"/>
      <c r="AO32" s="4"/>
      <c r="AP32" s="4">
        <f>ROW()</f>
        <v>32</v>
      </c>
      <c r="AQ32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קפלן 19 , נהריה</v>
      </c>
    </row>
    <row r="33" spans="1:43">
      <c r="A33" s="371" t="s">
        <v>115</v>
      </c>
      <c r="B33" s="371" t="s">
        <v>391</v>
      </c>
      <c r="C33" s="4" t="str">
        <f>TRIM(tbEmploDetails[[#This Row],[שם משפחה]])&amp;" "&amp;TRIM(tbEmploDetails[[#This Row],[שם פרטי]])</f>
        <v>פרץ רז</v>
      </c>
      <c r="D33" t="s">
        <v>490</v>
      </c>
      <c r="E33" t="s">
        <v>544</v>
      </c>
      <c r="F33" t="s">
        <v>592</v>
      </c>
      <c r="G33" t="str">
        <f>TRIM(tbEmploDetails[[#This Row],[כתובת - שם רחוב]]&amp;" "&amp;tbEmploDetails[[#This Row],[כתובת - מס'' רחוב]])</f>
        <v>העצמאות 15</v>
      </c>
      <c r="H33" t="s">
        <v>630</v>
      </c>
      <c r="I33" s="49" t="s">
        <v>36</v>
      </c>
      <c r="J33" s="6"/>
      <c r="L33" t="str">
        <f>TRIM(tbEmploDetails[[#This Row],[איש קשר - שם מלא]] &amp; " (" &amp; tbEmploDetails[[#This Row],[איש קשר - טיב קשר]] &amp; ")")</f>
        <v>()</v>
      </c>
      <c r="M33" s="43">
        <v>44158</v>
      </c>
      <c r="N33" s="4">
        <f ca="1">IF(tbEmploDetails[[#This Row],[תאריך תחילת תעסוקה נוכחית]],TODAY()-tbEmploDetails[[#This Row],[תאריך תחילת תעסוקה נוכחית]],"חסר מידע")</f>
        <v>1400</v>
      </c>
      <c r="O33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10 חודשים</v>
      </c>
      <c r="P33" s="49" t="s">
        <v>120</v>
      </c>
      <c r="Q33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33" s="48">
        <f>MAX(_xlfn.MAXIFS(tbShetchExam[מס'' פעם], tbShetchExam[נבחן],tbEmploDetails[[#This Row],[שם מלא]]))</f>
        <v>0</v>
      </c>
      <c r="S33" t="s">
        <v>41</v>
      </c>
      <c r="T33" t="s">
        <v>43</v>
      </c>
      <c r="U33" t="s">
        <v>96</v>
      </c>
      <c r="V33" s="2">
        <v>45610</v>
      </c>
      <c r="W33" s="4">
        <f ca="1">IF(tbEmploDetails[[#This Row],[תאריך הצ'' בריאות נוכחית]],EDATE(tbEmploDetails[[#This Row],[תאריך הצ'' בריאות נוכחית]],12)-TODAY(),"")</f>
        <v>417</v>
      </c>
      <c r="X33" s="4">
        <f>COUNTIFS(tbLate[איחור בדק''/חור],"&lt;&gt;חור",tbLate[שם המאחר],tbEmploDetails[[#This Row],[שם מלא]])</f>
        <v>0</v>
      </c>
      <c r="Y33" s="4">
        <f>COUNTIFS(tbLate[איחור בדק''/חור],"חור",tbLate[שם המאחר],tbEmploDetails[[#This Row],[שם מלא]])</f>
        <v>0</v>
      </c>
      <c r="Z33" s="133" t="str">
        <f>IFERROR(AVERAGEIFS(tbLate[איחור בדק''/חור],tbLate[שם המאחר],tbEmploDetails[[#This Row],[שם מלא]]),"")</f>
        <v/>
      </c>
      <c r="AA33" s="4">
        <f ca="1">COUNTIFS(tbLate[שם המאחר],tbEmploDetails[[#This Row],[שם מלא]],tbLate[תאריך],"&gt;"&amp;months2AgoCell,tbLate[מס''דק''איחור],"&gt;0")</f>
        <v>0</v>
      </c>
      <c r="AB33" s="4">
        <f ca="1">COUNTIFS(tbLate[שם המאחר],tbEmploDetails[[#This Row],[שם מלא]],tbLate[תאריך],"&gt;"&amp;months2AgoCell,tbLate[האם חור],"&gt;0")</f>
        <v>0</v>
      </c>
      <c r="AC33" s="4">
        <f>COUNTIFS(tbPerfReview[מאבטח],tbEmploDetails[[#This Row],[שם מלא]])</f>
        <v>0</v>
      </c>
      <c r="AD33" s="133" t="str">
        <f>IFERROR(AVERAGEIFS(tbPerfReview[ציון],tbPerfReview[מאבטח],tbEmploDetails[[#This Row],[שם מלא]]),"")</f>
        <v/>
      </c>
      <c r="AE33" s="4">
        <f ca="1">COUNTIFS(tbPerfReview[תאריך],"&gt;"&amp;yearAgoCell,tbPerfReview[מאבטח],tbEmploDetails[[#This Row],[שם מלא]])</f>
        <v>0</v>
      </c>
      <c r="AF33" s="133" t="str">
        <f ca="1">IFERROR(AVERAGEIFS(tbPerfReview[ציון],tbPerfReview[מאבטח],tbEmploDetails[[#This Row],[שם מלא]],tbPerfReview[תאריך],"&gt;="&amp;yearAgoCell),"")</f>
        <v/>
      </c>
      <c r="AG33" s="4"/>
      <c r="AH33" s="4">
        <f>COUNTIFS(tbDrills[מאבטח],tbEmploDetails[[#This Row],[שם מלא]])</f>
        <v>0</v>
      </c>
      <c r="AI33" s="4" t="str">
        <f>IFERROR(AVERAGEIFS(tbDrills[ציון],tbDrills[מאבטח],tbEmploDetails[[#This Row],[שם מלא]]),"")</f>
        <v/>
      </c>
      <c r="AJ33" s="4">
        <f ca="1">COUNTIFS(tbDrills[תאריך],"&gt;"&amp;yearAgoCell,tbDrills[מאבטח],tbEmploDetails[[#This Row],[שם מלא]])</f>
        <v>0</v>
      </c>
      <c r="AK33" s="4" t="str">
        <f ca="1">IFERROR(AVERAGEIFS(tbDrills[ציון],tbDrills[מאבטח],tbEmploDetails[[#This Row],[שם מלא]],tbDrills[תאריך],"&gt;="&amp;yearAgoCell),"")</f>
        <v/>
      </c>
      <c r="AL33" t="s">
        <v>665</v>
      </c>
      <c r="AM33" s="370">
        <v>15</v>
      </c>
      <c r="AN33" s="4"/>
      <c r="AO33" s="4"/>
      <c r="AP33" s="4">
        <f>ROW()</f>
        <v>33</v>
      </c>
      <c r="AQ33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העצמאות 15 , תל אביב</v>
      </c>
    </row>
    <row r="34" spans="1:43">
      <c r="A34" s="371" t="s">
        <v>422</v>
      </c>
      <c r="B34" s="371" t="s">
        <v>113</v>
      </c>
      <c r="C34" s="4" t="str">
        <f>TRIM(tbEmploDetails[[#This Row],[שם משפחה]])&amp;" "&amp;TRIM(tbEmploDetails[[#This Row],[שם פרטי]])</f>
        <v>דרורי יונתן</v>
      </c>
      <c r="D34" t="s">
        <v>491</v>
      </c>
      <c r="E34" t="s">
        <v>534</v>
      </c>
      <c r="F34" t="s">
        <v>593</v>
      </c>
      <c r="G34" t="str">
        <f>TRIM(tbEmploDetails[[#This Row],[כתובת - שם רחוב]]&amp;" "&amp;tbEmploDetails[[#This Row],[כתובת - מס'' רחוב]])</f>
        <v>ברנר 9</v>
      </c>
      <c r="H34" t="s">
        <v>652</v>
      </c>
      <c r="I34" s="49" t="s">
        <v>35</v>
      </c>
      <c r="J34" s="6"/>
      <c r="L34" t="str">
        <f>TRIM(tbEmploDetails[[#This Row],[איש קשר - שם מלא]] &amp; " (" &amp; tbEmploDetails[[#This Row],[איש קשר - טיב קשר]] &amp; ")")</f>
        <v>()</v>
      </c>
      <c r="M34" s="43">
        <v>42802</v>
      </c>
      <c r="N34" s="4">
        <f ca="1">IF(tbEmploDetails[[#This Row],[תאריך תחילת תעסוקה נוכחית]],TODAY()-tbEmploDetails[[#This Row],[תאריך תחילת תעסוקה נוכחית]],"חסר מידע")</f>
        <v>2756</v>
      </c>
      <c r="O34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7 שנים, 6 חודשים</v>
      </c>
      <c r="P34" s="49" t="s">
        <v>120</v>
      </c>
      <c r="Q34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34" s="48">
        <f>MAX(_xlfn.MAXIFS(tbShetchExam[מס'' פעם], tbShetchExam[נבחן],tbEmploDetails[[#This Row],[שם מלא]]))</f>
        <v>0</v>
      </c>
      <c r="S34" t="s">
        <v>40</v>
      </c>
      <c r="T34" t="s">
        <v>42</v>
      </c>
      <c r="U34" t="s">
        <v>93</v>
      </c>
      <c r="V34" s="2">
        <v>45298</v>
      </c>
      <c r="W34" s="4">
        <f ca="1">IF(tbEmploDetails[[#This Row],[תאריך הצ'' בריאות נוכחית]],EDATE(tbEmploDetails[[#This Row],[תאריך הצ'' בריאות נוכחית]],12)-TODAY(),"")</f>
        <v>106</v>
      </c>
      <c r="X34" s="4">
        <f>COUNTIFS(tbLate[איחור בדק''/חור],"&lt;&gt;חור",tbLate[שם המאחר],tbEmploDetails[[#This Row],[שם מלא]])</f>
        <v>0</v>
      </c>
      <c r="Y34" s="4">
        <f>COUNTIFS(tbLate[איחור בדק''/חור],"חור",tbLate[שם המאחר],tbEmploDetails[[#This Row],[שם מלא]])</f>
        <v>0</v>
      </c>
      <c r="Z34" s="133" t="str">
        <f>IFERROR(AVERAGEIFS(tbLate[איחור בדק''/חור],tbLate[שם המאחר],tbEmploDetails[[#This Row],[שם מלא]]),"")</f>
        <v/>
      </c>
      <c r="AA34" s="4">
        <f ca="1">COUNTIFS(tbLate[שם המאחר],tbEmploDetails[[#This Row],[שם מלא]],tbLate[תאריך],"&gt;"&amp;months2AgoCell,tbLate[מס''דק''איחור],"&gt;0")</f>
        <v>0</v>
      </c>
      <c r="AB34" s="4">
        <f ca="1">COUNTIFS(tbLate[שם המאחר],tbEmploDetails[[#This Row],[שם מלא]],tbLate[תאריך],"&gt;"&amp;months2AgoCell,tbLate[האם חור],"&gt;0")</f>
        <v>0</v>
      </c>
      <c r="AC34" s="4">
        <f>COUNTIFS(tbPerfReview[מאבטח],tbEmploDetails[[#This Row],[שם מלא]])</f>
        <v>0</v>
      </c>
      <c r="AD34" s="133" t="str">
        <f>IFERROR(AVERAGEIFS(tbPerfReview[ציון],tbPerfReview[מאבטח],tbEmploDetails[[#This Row],[שם מלא]]),"")</f>
        <v/>
      </c>
      <c r="AE34" s="4">
        <f ca="1">COUNTIFS(tbPerfReview[תאריך],"&gt;"&amp;yearAgoCell,tbPerfReview[מאבטח],tbEmploDetails[[#This Row],[שם מלא]])</f>
        <v>0</v>
      </c>
      <c r="AF34" s="133" t="str">
        <f ca="1">IFERROR(AVERAGEIFS(tbPerfReview[ציון],tbPerfReview[מאבטח],tbEmploDetails[[#This Row],[שם מלא]],tbPerfReview[תאריך],"&gt;="&amp;yearAgoCell),"")</f>
        <v/>
      </c>
      <c r="AG34" s="4"/>
      <c r="AH34" s="4">
        <f>COUNTIFS(tbDrills[מאבטח],tbEmploDetails[[#This Row],[שם מלא]])</f>
        <v>0</v>
      </c>
      <c r="AI34" s="4" t="str">
        <f>IFERROR(AVERAGEIFS(tbDrills[ציון],tbDrills[מאבטח],tbEmploDetails[[#This Row],[שם מלא]]),"")</f>
        <v/>
      </c>
      <c r="AJ34" s="4">
        <f ca="1">COUNTIFS(tbDrills[תאריך],"&gt;"&amp;yearAgoCell,tbDrills[מאבטח],tbEmploDetails[[#This Row],[שם מלא]])</f>
        <v>0</v>
      </c>
      <c r="AK34" s="4" t="str">
        <f ca="1">IFERROR(AVERAGEIFS(tbDrills[ציון],tbDrills[מאבטח],tbEmploDetails[[#This Row],[שם מלא]],tbDrills[תאריך],"&gt;="&amp;yearAgoCell),"")</f>
        <v/>
      </c>
      <c r="AL34" t="s">
        <v>666</v>
      </c>
      <c r="AM34" s="370">
        <v>9</v>
      </c>
      <c r="AN34" s="4"/>
      <c r="AO34" s="4"/>
      <c r="AP34" s="4">
        <f>ROW()</f>
        <v>34</v>
      </c>
      <c r="AQ34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ברנר 9 , אשקלון</v>
      </c>
    </row>
    <row r="35" spans="1:43">
      <c r="A35" s="371" t="s">
        <v>423</v>
      </c>
      <c r="B35" s="371" t="s">
        <v>112</v>
      </c>
      <c r="C35" s="4" t="str">
        <f>TRIM(tbEmploDetails[[#This Row],[שם משפחה]])&amp;" "&amp;TRIM(tbEmploDetails[[#This Row],[שם פרטי]])</f>
        <v>רפפורט תומר</v>
      </c>
      <c r="D35" t="s">
        <v>492</v>
      </c>
      <c r="E35" t="s">
        <v>545</v>
      </c>
      <c r="F35" t="s">
        <v>594</v>
      </c>
      <c r="G35" t="str">
        <f>TRIM(tbEmploDetails[[#This Row],[כתובת - שם רחוב]]&amp;" "&amp;tbEmploDetails[[#This Row],[כתובת - מס'' רחוב]])</f>
        <v>פינסקר 24</v>
      </c>
      <c r="H35" t="s">
        <v>653</v>
      </c>
      <c r="I35" s="49" t="s">
        <v>35</v>
      </c>
      <c r="J35" s="6"/>
      <c r="L35" t="str">
        <f>TRIM(tbEmploDetails[[#This Row],[איש קשר - שם מלא]] &amp; " (" &amp; tbEmploDetails[[#This Row],[איש קשר - טיב קשר]] &amp; ")")</f>
        <v>()</v>
      </c>
      <c r="M35" s="43">
        <v>44392</v>
      </c>
      <c r="N35" s="4">
        <f ca="1">IF(tbEmploDetails[[#This Row],[תאריך תחילת תעסוקה נוכחית]],TODAY()-tbEmploDetails[[#This Row],[תאריך תחילת תעסוקה נוכחית]],"חסר מידע")</f>
        <v>1166</v>
      </c>
      <c r="O35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2 חודשים</v>
      </c>
      <c r="P35" s="49" t="s">
        <v>120</v>
      </c>
      <c r="Q35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35" s="48">
        <f>MAX(_xlfn.MAXIFS(tbShetchExam[מס'' פעם], tbShetchExam[נבחן],tbEmploDetails[[#This Row],[שם מלא]]))</f>
        <v>0</v>
      </c>
      <c r="S35" t="s">
        <v>40</v>
      </c>
      <c r="T35" t="s">
        <v>42</v>
      </c>
      <c r="U35" t="s">
        <v>93</v>
      </c>
      <c r="V35" s="2">
        <v>45344</v>
      </c>
      <c r="W35" s="4">
        <f ca="1">IF(tbEmploDetails[[#This Row],[תאריך הצ'' בריאות נוכחית]],EDATE(tbEmploDetails[[#This Row],[תאריך הצ'' בריאות נוכחית]],12)-TODAY(),"")</f>
        <v>152</v>
      </c>
      <c r="X35" s="4">
        <f>COUNTIFS(tbLate[איחור בדק''/חור],"&lt;&gt;חור",tbLate[שם המאחר],tbEmploDetails[[#This Row],[שם מלא]])</f>
        <v>0</v>
      </c>
      <c r="Y35" s="4">
        <f>COUNTIFS(tbLate[איחור בדק''/חור],"חור",tbLate[שם המאחר],tbEmploDetails[[#This Row],[שם מלא]])</f>
        <v>0</v>
      </c>
      <c r="Z35" s="133" t="str">
        <f>IFERROR(AVERAGEIFS(tbLate[איחור בדק''/חור],tbLate[שם המאחר],tbEmploDetails[[#This Row],[שם מלא]]),"")</f>
        <v/>
      </c>
      <c r="AA35" s="4">
        <f ca="1">COUNTIFS(tbLate[שם המאחר],tbEmploDetails[[#This Row],[שם מלא]],tbLate[תאריך],"&gt;"&amp;months2AgoCell,tbLate[מס''דק''איחור],"&gt;0")</f>
        <v>0</v>
      </c>
      <c r="AB35" s="4">
        <f ca="1">COUNTIFS(tbLate[שם המאחר],tbEmploDetails[[#This Row],[שם מלא]],tbLate[תאריך],"&gt;"&amp;months2AgoCell,tbLate[האם חור],"&gt;0")</f>
        <v>0</v>
      </c>
      <c r="AC35" s="4">
        <f>COUNTIFS(tbPerfReview[מאבטח],tbEmploDetails[[#This Row],[שם מלא]])</f>
        <v>0</v>
      </c>
      <c r="AD35" s="133" t="str">
        <f>IFERROR(AVERAGEIFS(tbPerfReview[ציון],tbPerfReview[מאבטח],tbEmploDetails[[#This Row],[שם מלא]]),"")</f>
        <v/>
      </c>
      <c r="AE35" s="4">
        <f ca="1">COUNTIFS(tbPerfReview[תאריך],"&gt;"&amp;yearAgoCell,tbPerfReview[מאבטח],tbEmploDetails[[#This Row],[שם מלא]])</f>
        <v>0</v>
      </c>
      <c r="AF35" s="133" t="str">
        <f ca="1">IFERROR(AVERAGEIFS(tbPerfReview[ציון],tbPerfReview[מאבטח],tbEmploDetails[[#This Row],[שם מלא]],tbPerfReview[תאריך],"&gt;="&amp;yearAgoCell),"")</f>
        <v/>
      </c>
      <c r="AG35" s="4"/>
      <c r="AH35" s="4">
        <f>COUNTIFS(tbDrills[מאבטח],tbEmploDetails[[#This Row],[שם מלא]])</f>
        <v>1</v>
      </c>
      <c r="AI35" s="4">
        <f>IFERROR(AVERAGEIFS(tbDrills[ציון],tbDrills[מאבטח],tbEmploDetails[[#This Row],[שם מלא]]),"")</f>
        <v>10</v>
      </c>
      <c r="AJ35" s="4">
        <f ca="1">COUNTIFS(tbDrills[תאריך],"&gt;"&amp;yearAgoCell,tbDrills[מאבטח],tbEmploDetails[[#This Row],[שם מלא]])</f>
        <v>1</v>
      </c>
      <c r="AK35" s="4">
        <f ca="1">IFERROR(AVERAGEIFS(tbDrills[ציון],tbDrills[מאבטח],tbEmploDetails[[#This Row],[שם מלא]],tbDrills[תאריך],"&gt;="&amp;yearAgoCell),"")</f>
        <v>10</v>
      </c>
      <c r="AL35" t="s">
        <v>667</v>
      </c>
      <c r="AM35" s="370">
        <v>24</v>
      </c>
      <c r="AN35" s="4"/>
      <c r="AO35" s="4"/>
      <c r="AP35" s="4">
        <f>ROW()</f>
        <v>35</v>
      </c>
      <c r="AQ35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פינסקר 24 , נתיבות</v>
      </c>
    </row>
    <row r="36" spans="1:43">
      <c r="A36" s="371" t="s">
        <v>424</v>
      </c>
      <c r="B36" s="371" t="s">
        <v>105</v>
      </c>
      <c r="C36" s="4" t="str">
        <f>TRIM(tbEmploDetails[[#This Row],[שם משפחה]])&amp;" "&amp;TRIM(tbEmploDetails[[#This Row],[שם פרטי]])</f>
        <v>פלדמן עומר</v>
      </c>
      <c r="D36" t="s">
        <v>493</v>
      </c>
      <c r="E36" t="s">
        <v>529</v>
      </c>
      <c r="F36" t="s">
        <v>595</v>
      </c>
      <c r="G36" t="str">
        <f>TRIM(tbEmploDetails[[#This Row],[כתובת - שם רחוב]]&amp;" "&amp;tbEmploDetails[[#This Row],[כתובת - מס'' רחוב]])</f>
        <v>הכרמל 70</v>
      </c>
      <c r="H36" t="s">
        <v>654</v>
      </c>
      <c r="I36" s="49" t="s">
        <v>36</v>
      </c>
      <c r="J36" s="6"/>
      <c r="L36" t="str">
        <f>TRIM(tbEmploDetails[[#This Row],[איש קשר - שם מלא]] &amp; " (" &amp; tbEmploDetails[[#This Row],[איש קשר - טיב קשר]] &amp; ")")</f>
        <v>()</v>
      </c>
      <c r="M36" s="43">
        <v>42307</v>
      </c>
      <c r="N36" s="4">
        <f ca="1">IF(tbEmploDetails[[#This Row],[תאריך תחילת תעסוקה נוכחית]],TODAY()-tbEmploDetails[[#This Row],[תאריך תחילת תעסוקה נוכחית]],"חסר מידע")</f>
        <v>3251</v>
      </c>
      <c r="O36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10 חודשים</v>
      </c>
      <c r="P36" s="49" t="s">
        <v>120</v>
      </c>
      <c r="Q36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36" s="48">
        <f>MAX(_xlfn.MAXIFS(tbShetchExam[מס'' פעם], tbShetchExam[נבחן],tbEmploDetails[[#This Row],[שם מלא]]))</f>
        <v>0</v>
      </c>
      <c r="S36" t="s">
        <v>40</v>
      </c>
      <c r="T36" t="s">
        <v>42</v>
      </c>
      <c r="U36" t="s">
        <v>93</v>
      </c>
      <c r="V36" s="2">
        <v>45364</v>
      </c>
      <c r="W36" s="4">
        <f ca="1">IF(tbEmploDetails[[#This Row],[תאריך הצ'' בריאות נוכחית]],EDATE(tbEmploDetails[[#This Row],[תאריך הצ'' בריאות נוכחית]],12)-TODAY(),"")</f>
        <v>171</v>
      </c>
      <c r="X36" s="4">
        <f>COUNTIFS(tbLate[איחור בדק''/חור],"&lt;&gt;חור",tbLate[שם המאחר],tbEmploDetails[[#This Row],[שם מלא]])</f>
        <v>0</v>
      </c>
      <c r="Y36" s="4">
        <f>COUNTIFS(tbLate[איחור בדק''/חור],"חור",tbLate[שם המאחר],tbEmploDetails[[#This Row],[שם מלא]])</f>
        <v>0</v>
      </c>
      <c r="Z36" s="133" t="str">
        <f>IFERROR(AVERAGEIFS(tbLate[איחור בדק''/חור],tbLate[שם המאחר],tbEmploDetails[[#This Row],[שם מלא]]),"")</f>
        <v/>
      </c>
      <c r="AA36" s="4">
        <f ca="1">COUNTIFS(tbLate[שם המאחר],tbEmploDetails[[#This Row],[שם מלא]],tbLate[תאריך],"&gt;"&amp;months2AgoCell,tbLate[מס''דק''איחור],"&gt;0")</f>
        <v>0</v>
      </c>
      <c r="AB36" s="4">
        <f ca="1">COUNTIFS(tbLate[שם המאחר],tbEmploDetails[[#This Row],[שם מלא]],tbLate[תאריך],"&gt;"&amp;months2AgoCell,tbLate[האם חור],"&gt;0")</f>
        <v>0</v>
      </c>
      <c r="AC36" s="4">
        <f>COUNTIFS(tbPerfReview[מאבטח],tbEmploDetails[[#This Row],[שם מלא]])</f>
        <v>0</v>
      </c>
      <c r="AD36" s="133" t="str">
        <f>IFERROR(AVERAGEIFS(tbPerfReview[ציון],tbPerfReview[מאבטח],tbEmploDetails[[#This Row],[שם מלא]]),"")</f>
        <v/>
      </c>
      <c r="AE36" s="4">
        <f ca="1">COUNTIFS(tbPerfReview[תאריך],"&gt;"&amp;yearAgoCell,tbPerfReview[מאבטח],tbEmploDetails[[#This Row],[שם מלא]])</f>
        <v>0</v>
      </c>
      <c r="AF36" s="133" t="str">
        <f ca="1">IFERROR(AVERAGEIFS(tbPerfReview[ציון],tbPerfReview[מאבטח],tbEmploDetails[[#This Row],[שם מלא]],tbPerfReview[תאריך],"&gt;="&amp;yearAgoCell),"")</f>
        <v/>
      </c>
      <c r="AG36" s="4"/>
      <c r="AH36" s="4">
        <f>COUNTIFS(tbDrills[מאבטח],tbEmploDetails[[#This Row],[שם מלא]])</f>
        <v>0</v>
      </c>
      <c r="AI36" s="4" t="str">
        <f>IFERROR(AVERAGEIFS(tbDrills[ציון],tbDrills[מאבטח],tbEmploDetails[[#This Row],[שם מלא]]),"")</f>
        <v/>
      </c>
      <c r="AJ36" s="4">
        <f ca="1">COUNTIFS(tbDrills[תאריך],"&gt;"&amp;yearAgoCell,tbDrills[מאבטח],tbEmploDetails[[#This Row],[שם מלא]])</f>
        <v>0</v>
      </c>
      <c r="AK36" s="4" t="str">
        <f ca="1">IFERROR(AVERAGEIFS(tbDrills[ציון],tbDrills[מאבטח],tbEmploDetails[[#This Row],[שם מלא]],tbDrills[תאריך],"&gt;="&amp;yearAgoCell),"")</f>
        <v/>
      </c>
      <c r="AL36" t="s">
        <v>668</v>
      </c>
      <c r="AM36" s="370">
        <v>70</v>
      </c>
      <c r="AN36" s="4"/>
      <c r="AO36" s="4"/>
      <c r="AP36" s="4">
        <f>ROW()</f>
        <v>36</v>
      </c>
      <c r="AQ36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הכרמל 70 , מבשרת ציון</v>
      </c>
    </row>
    <row r="37" spans="1:43">
      <c r="A37" s="371" t="s">
        <v>425</v>
      </c>
      <c r="B37" s="371" t="s">
        <v>426</v>
      </c>
      <c r="C37" s="4" t="str">
        <f>TRIM(tbEmploDetails[[#This Row],[שם משפחה]])&amp;" "&amp;TRIM(tbEmploDetails[[#This Row],[שם פרטי]])</f>
        <v>בלום גיל</v>
      </c>
      <c r="D37" t="s">
        <v>494</v>
      </c>
      <c r="E37" t="s">
        <v>541</v>
      </c>
      <c r="F37" t="s">
        <v>596</v>
      </c>
      <c r="G37" t="str">
        <f>TRIM(tbEmploDetails[[#This Row],[כתובת - שם רחוב]]&amp;" "&amp;tbEmploDetails[[#This Row],[כתובת - מס'' רחוב]])</f>
        <v>סוקולוב 32</v>
      </c>
      <c r="H37" t="s">
        <v>655</v>
      </c>
      <c r="I37" s="49" t="s">
        <v>35</v>
      </c>
      <c r="J37" s="6"/>
      <c r="L37" t="str">
        <f>TRIM(tbEmploDetails[[#This Row],[איש קשר - שם מלא]] &amp; " (" &amp; tbEmploDetails[[#This Row],[איש קשר - טיב קשר]] &amp; ")")</f>
        <v>()</v>
      </c>
      <c r="M37" s="43">
        <v>42388</v>
      </c>
      <c r="N37" s="4">
        <f ca="1">IF(tbEmploDetails[[#This Row],[תאריך תחילת תעסוקה נוכחית]],TODAY()-tbEmploDetails[[#This Row],[תאריך תחילת תעסוקה נוכחית]],"חסר מידע")</f>
        <v>3170</v>
      </c>
      <c r="O37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8 חודשים</v>
      </c>
      <c r="P37" s="49" t="s">
        <v>120</v>
      </c>
      <c r="Q37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עבר</v>
      </c>
      <c r="R37" s="48">
        <f>MAX(_xlfn.MAXIFS(tbShetchExam[מס'' פעם], tbShetchExam[נבחן],tbEmploDetails[[#This Row],[שם מלא]]))</f>
        <v>1</v>
      </c>
      <c r="S37" t="s">
        <v>41</v>
      </c>
      <c r="T37" t="s">
        <v>43</v>
      </c>
      <c r="U37" t="s">
        <v>93</v>
      </c>
      <c r="V37" s="2">
        <v>45411</v>
      </c>
      <c r="W37" s="4">
        <f ca="1">IF(tbEmploDetails[[#This Row],[תאריך הצ'' בריאות נוכחית]],EDATE(tbEmploDetails[[#This Row],[תאריך הצ'' בריאות נוכחית]],12)-TODAY(),"")</f>
        <v>218</v>
      </c>
      <c r="X37" s="4">
        <f>COUNTIFS(tbLate[איחור בדק''/חור],"&lt;&gt;חור",tbLate[שם המאחר],tbEmploDetails[[#This Row],[שם מלא]])</f>
        <v>0</v>
      </c>
      <c r="Y37" s="4">
        <f>COUNTIFS(tbLate[איחור בדק''/חור],"חור",tbLate[שם המאחר],tbEmploDetails[[#This Row],[שם מלא]])</f>
        <v>1</v>
      </c>
      <c r="Z37" s="133" t="str">
        <f>IFERROR(AVERAGEIFS(tbLate[איחור בדק''/חור],tbLate[שם המאחר],tbEmploDetails[[#This Row],[שם מלא]]),"")</f>
        <v/>
      </c>
      <c r="AA37" s="4">
        <f ca="1">COUNTIFS(tbLate[שם המאחר],tbEmploDetails[[#This Row],[שם מלא]],tbLate[תאריך],"&gt;"&amp;months2AgoCell,tbLate[מס''דק''איחור],"&gt;0")</f>
        <v>0</v>
      </c>
      <c r="AB37" s="4">
        <f ca="1">COUNTIFS(tbLate[שם המאחר],tbEmploDetails[[#This Row],[שם מלא]],tbLate[תאריך],"&gt;"&amp;months2AgoCell,tbLate[האם חור],"&gt;0")</f>
        <v>1</v>
      </c>
      <c r="AC37" s="4">
        <f>COUNTIFS(tbPerfReview[מאבטח],tbEmploDetails[[#This Row],[שם מלא]])</f>
        <v>1</v>
      </c>
      <c r="AD37" s="133">
        <f>IFERROR(AVERAGEIFS(tbPerfReview[ציון],tbPerfReview[מאבטח],tbEmploDetails[[#This Row],[שם מלא]]),"")</f>
        <v>10</v>
      </c>
      <c r="AE37" s="4">
        <f ca="1">COUNTIFS(tbPerfReview[תאריך],"&gt;"&amp;yearAgoCell,tbPerfReview[מאבטח],tbEmploDetails[[#This Row],[שם מלא]])</f>
        <v>1</v>
      </c>
      <c r="AF37" s="133">
        <f ca="1">IFERROR(AVERAGEIFS(tbPerfReview[ציון],tbPerfReview[מאבטח],tbEmploDetails[[#This Row],[שם מלא]],tbPerfReview[תאריך],"&gt;="&amp;yearAgoCell),"")</f>
        <v>10</v>
      </c>
      <c r="AG37" s="4"/>
      <c r="AH37" s="4">
        <f>COUNTIFS(tbDrills[מאבטח],tbEmploDetails[[#This Row],[שם מלא]])</f>
        <v>1</v>
      </c>
      <c r="AI37" s="4">
        <f>IFERROR(AVERAGEIFS(tbDrills[ציון],tbDrills[מאבטח],tbEmploDetails[[#This Row],[שם מלא]]),"")</f>
        <v>0</v>
      </c>
      <c r="AJ37" s="4">
        <f ca="1">COUNTIFS(tbDrills[תאריך],"&gt;"&amp;yearAgoCell,tbDrills[מאבטח],tbEmploDetails[[#This Row],[שם מלא]])</f>
        <v>1</v>
      </c>
      <c r="AK37" s="4">
        <f ca="1">IFERROR(AVERAGEIFS(tbDrills[ציון],tbDrills[מאבטח],tbEmploDetails[[#This Row],[שם מלא]],tbDrills[תאריך],"&gt;="&amp;yearAgoCell),"")</f>
        <v>0</v>
      </c>
      <c r="AL37" t="s">
        <v>669</v>
      </c>
      <c r="AM37" s="370">
        <v>32</v>
      </c>
      <c r="AN37" s="4"/>
      <c r="AO37" s="4"/>
      <c r="AP37" s="4">
        <f>ROW()</f>
        <v>37</v>
      </c>
      <c r="AQ37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סוקולוב 32 , מודיעין</v>
      </c>
    </row>
    <row r="38" spans="1:43">
      <c r="A38" s="371" t="s">
        <v>427</v>
      </c>
      <c r="B38" s="371" t="s">
        <v>382</v>
      </c>
      <c r="C38" s="4" t="str">
        <f>TRIM(tbEmploDetails[[#This Row],[שם משפחה]])&amp;" "&amp;TRIM(tbEmploDetails[[#This Row],[שם פרטי]])</f>
        <v>בן ארי יעל</v>
      </c>
      <c r="D38" t="s">
        <v>495</v>
      </c>
      <c r="E38" t="s">
        <v>546</v>
      </c>
      <c r="F38" t="s">
        <v>597</v>
      </c>
      <c r="G38" t="str">
        <f>TRIM(tbEmploDetails[[#This Row],[כתובת - שם רחוב]]&amp;" "&amp;tbEmploDetails[[#This Row],[כתובת - מס'' רחוב]])</f>
        <v>הגליל 88</v>
      </c>
      <c r="H38" t="s">
        <v>656</v>
      </c>
      <c r="I38" s="49" t="s">
        <v>35</v>
      </c>
      <c r="J38" s="6"/>
      <c r="L38" t="str">
        <f>TRIM(tbEmploDetails[[#This Row],[איש קשר - שם מלא]] &amp; " (" &amp; tbEmploDetails[[#This Row],[איש קשר - טיב קשר]] &amp; ")")</f>
        <v>()</v>
      </c>
      <c r="M38" s="43">
        <v>43711</v>
      </c>
      <c r="N38" s="4">
        <f ca="1">IF(tbEmploDetails[[#This Row],[תאריך תחילת תעסוקה נוכחית]],TODAY()-tbEmploDetails[[#This Row],[תאריך תחילת תעסוקה נוכחית]],"חסר מידע")</f>
        <v>1847</v>
      </c>
      <c r="O38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5 שנים, 15 ימים</v>
      </c>
      <c r="P38" s="49" t="s">
        <v>120</v>
      </c>
      <c r="Q38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עבר</v>
      </c>
      <c r="R38" s="48">
        <f>MAX(_xlfn.MAXIFS(tbShetchExam[מס'' פעם], tbShetchExam[נבחן],tbEmploDetails[[#This Row],[שם מלא]]))</f>
        <v>1</v>
      </c>
      <c r="S38" t="s">
        <v>40</v>
      </c>
      <c r="T38" t="s">
        <v>42</v>
      </c>
      <c r="U38" t="s">
        <v>93</v>
      </c>
      <c r="V38" s="2">
        <v>45422</v>
      </c>
      <c r="W38" s="4">
        <f ca="1">IF(tbEmploDetails[[#This Row],[תאריך הצ'' בריאות נוכחית]],EDATE(tbEmploDetails[[#This Row],[תאריך הצ'' בריאות נוכחית]],12)-TODAY(),"")</f>
        <v>229</v>
      </c>
      <c r="X38" s="4">
        <f>COUNTIFS(tbLate[איחור בדק''/חור],"&lt;&gt;חור",tbLate[שם המאחר],tbEmploDetails[[#This Row],[שם מלא]])</f>
        <v>0</v>
      </c>
      <c r="Y38" s="4">
        <f>COUNTIFS(tbLate[איחור בדק''/חור],"חור",tbLate[שם המאחר],tbEmploDetails[[#This Row],[שם מלא]])</f>
        <v>0</v>
      </c>
      <c r="Z38" s="133" t="str">
        <f>IFERROR(AVERAGEIFS(tbLate[איחור בדק''/חור],tbLate[שם המאחר],tbEmploDetails[[#This Row],[שם מלא]]),"")</f>
        <v/>
      </c>
      <c r="AA38" s="4">
        <f ca="1">COUNTIFS(tbLate[שם המאחר],tbEmploDetails[[#This Row],[שם מלא]],tbLate[תאריך],"&gt;"&amp;months2AgoCell,tbLate[מס''דק''איחור],"&gt;0")</f>
        <v>0</v>
      </c>
      <c r="AB38" s="4">
        <f ca="1">COUNTIFS(tbLate[שם המאחר],tbEmploDetails[[#This Row],[שם מלא]],tbLate[תאריך],"&gt;"&amp;months2AgoCell,tbLate[האם חור],"&gt;0")</f>
        <v>0</v>
      </c>
      <c r="AC38" s="4">
        <f>COUNTIFS(tbPerfReview[מאבטח],tbEmploDetails[[#This Row],[שם מלא]])</f>
        <v>1</v>
      </c>
      <c r="AD38" s="133">
        <f>IFERROR(AVERAGEIFS(tbPerfReview[ציון],tbPerfReview[מאבטח],tbEmploDetails[[#This Row],[שם מלא]]),"")</f>
        <v>10</v>
      </c>
      <c r="AE38" s="4">
        <f ca="1">COUNTIFS(tbPerfReview[תאריך],"&gt;"&amp;yearAgoCell,tbPerfReview[מאבטח],tbEmploDetails[[#This Row],[שם מלא]])</f>
        <v>1</v>
      </c>
      <c r="AF38" s="133">
        <f ca="1">IFERROR(AVERAGEIFS(tbPerfReview[ציון],tbPerfReview[מאבטח],tbEmploDetails[[#This Row],[שם מלא]],tbPerfReview[תאריך],"&gt;="&amp;yearAgoCell),"")</f>
        <v>10</v>
      </c>
      <c r="AG38" s="4"/>
      <c r="AH38" s="4">
        <f>COUNTIFS(tbDrills[מאבטח],tbEmploDetails[[#This Row],[שם מלא]])</f>
        <v>1</v>
      </c>
      <c r="AI38" s="4">
        <f>IFERROR(AVERAGEIFS(tbDrills[ציון],tbDrills[מאבטח],tbEmploDetails[[#This Row],[שם מלא]]),"")</f>
        <v>5</v>
      </c>
      <c r="AJ38" s="4">
        <f ca="1">COUNTIFS(tbDrills[תאריך],"&gt;"&amp;yearAgoCell,tbDrills[מאבטח],tbEmploDetails[[#This Row],[שם מלא]])</f>
        <v>1</v>
      </c>
      <c r="AK38" s="4">
        <f ca="1">IFERROR(AVERAGEIFS(tbDrills[ציון],tbDrills[מאבטח],tbEmploDetails[[#This Row],[שם מלא]],tbDrills[תאריך],"&gt;="&amp;yearAgoCell),"")</f>
        <v>5</v>
      </c>
      <c r="AL38" t="s">
        <v>670</v>
      </c>
      <c r="AM38" s="370">
        <v>88</v>
      </c>
      <c r="AN38" s="4"/>
      <c r="AO38" s="4"/>
      <c r="AP38" s="4">
        <f>ROW()</f>
        <v>38</v>
      </c>
      <c r="AQ38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הגליל 88 , קריית גת</v>
      </c>
    </row>
    <row r="39" spans="1:43">
      <c r="A39" s="371" t="s">
        <v>428</v>
      </c>
      <c r="B39" s="371" t="s">
        <v>418</v>
      </c>
      <c r="C39" s="4" t="str">
        <f>TRIM(tbEmploDetails[[#This Row],[שם משפחה]])&amp;" "&amp;TRIM(tbEmploDetails[[#This Row],[שם פרטי]])</f>
        <v>פרל שירה</v>
      </c>
      <c r="D39" t="s">
        <v>496</v>
      </c>
      <c r="E39" t="s">
        <v>536</v>
      </c>
      <c r="F39" t="s">
        <v>598</v>
      </c>
      <c r="G39" t="str">
        <f>TRIM(tbEmploDetails[[#This Row],[כתובת - שם רחוב]]&amp;" "&amp;tbEmploDetails[[#This Row],[כתובת - מס'' רחוב]])</f>
        <v>הנביאים 7</v>
      </c>
      <c r="H39" t="s">
        <v>633</v>
      </c>
      <c r="I39" s="49" t="s">
        <v>36</v>
      </c>
      <c r="J39" s="6"/>
      <c r="L39" t="str">
        <f>TRIM(tbEmploDetails[[#This Row],[איש קשר - שם מלא]] &amp; " (" &amp; tbEmploDetails[[#This Row],[איש קשר - טיב קשר]] &amp; ")")</f>
        <v>()</v>
      </c>
      <c r="M39" s="43">
        <v>41754</v>
      </c>
      <c r="N39" s="4">
        <f ca="1">IF(tbEmploDetails[[#This Row],[תאריך תחילת תעסוקה נוכחית]],TODAY()-tbEmploDetails[[#This Row],[תאריך תחילת תעסוקה נוכחית]],"חסר מידע")</f>
        <v>3804</v>
      </c>
      <c r="O39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10 שנים, 4 חודשים</v>
      </c>
      <c r="P39" s="49" t="s">
        <v>120</v>
      </c>
      <c r="Q39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39" s="48">
        <f>MAX(_xlfn.MAXIFS(tbShetchExam[מס'' פעם], tbShetchExam[נבחן],tbEmploDetails[[#This Row],[שם מלא]]))</f>
        <v>0</v>
      </c>
      <c r="S39" t="s">
        <v>40</v>
      </c>
      <c r="T39" t="s">
        <v>42</v>
      </c>
      <c r="U39" t="s">
        <v>93</v>
      </c>
      <c r="V39" s="2">
        <v>45461</v>
      </c>
      <c r="W39" s="4">
        <f ca="1">IF(tbEmploDetails[[#This Row],[תאריך הצ'' בריאות נוכחית]],EDATE(tbEmploDetails[[#This Row],[תאריך הצ'' בריאות נוכחית]],12)-TODAY(),"")</f>
        <v>268</v>
      </c>
      <c r="X39" s="4">
        <f>COUNTIFS(tbLate[איחור בדק''/חור],"&lt;&gt;חור",tbLate[שם המאחר],tbEmploDetails[[#This Row],[שם מלא]])</f>
        <v>0</v>
      </c>
      <c r="Y39" s="4">
        <f>COUNTIFS(tbLate[איחור בדק''/חור],"חור",tbLate[שם המאחר],tbEmploDetails[[#This Row],[שם מלא]])</f>
        <v>0</v>
      </c>
      <c r="Z39" s="133" t="str">
        <f>IFERROR(AVERAGEIFS(tbLate[איחור בדק''/חור],tbLate[שם המאחר],tbEmploDetails[[#This Row],[שם מלא]]),"")</f>
        <v/>
      </c>
      <c r="AA39" s="4">
        <f ca="1">COUNTIFS(tbLate[שם המאחר],tbEmploDetails[[#This Row],[שם מלא]],tbLate[תאריך],"&gt;"&amp;months2AgoCell,tbLate[מס''דק''איחור],"&gt;0")</f>
        <v>0</v>
      </c>
      <c r="AB39" s="4">
        <f ca="1">COUNTIFS(tbLate[שם המאחר],tbEmploDetails[[#This Row],[שם מלא]],tbLate[תאריך],"&gt;"&amp;months2AgoCell,tbLate[האם חור],"&gt;0")</f>
        <v>0</v>
      </c>
      <c r="AC39" s="4">
        <f>COUNTIFS(tbPerfReview[מאבטח],tbEmploDetails[[#This Row],[שם מלא]])</f>
        <v>0</v>
      </c>
      <c r="AD39" s="133" t="str">
        <f>IFERROR(AVERAGEIFS(tbPerfReview[ציון],tbPerfReview[מאבטח],tbEmploDetails[[#This Row],[שם מלא]]),"")</f>
        <v/>
      </c>
      <c r="AE39" s="4">
        <f ca="1">COUNTIFS(tbPerfReview[תאריך],"&gt;"&amp;yearAgoCell,tbPerfReview[מאבטח],tbEmploDetails[[#This Row],[שם מלא]])</f>
        <v>0</v>
      </c>
      <c r="AF39" s="133" t="str">
        <f ca="1">IFERROR(AVERAGEIFS(tbPerfReview[ציון],tbPerfReview[מאבטח],tbEmploDetails[[#This Row],[שם מלא]],tbPerfReview[תאריך],"&gt;="&amp;yearAgoCell),"")</f>
        <v/>
      </c>
      <c r="AG39" s="4"/>
      <c r="AH39" s="4">
        <f>COUNTIFS(tbDrills[מאבטח],tbEmploDetails[[#This Row],[שם מלא]])</f>
        <v>0</v>
      </c>
      <c r="AI39" s="4" t="str">
        <f>IFERROR(AVERAGEIFS(tbDrills[ציון],tbDrills[מאבטח],tbEmploDetails[[#This Row],[שם מלא]]),"")</f>
        <v/>
      </c>
      <c r="AJ39" s="4">
        <f ca="1">COUNTIFS(tbDrills[תאריך],"&gt;"&amp;yearAgoCell,tbDrills[מאבטח],tbEmploDetails[[#This Row],[שם מלא]])</f>
        <v>0</v>
      </c>
      <c r="AK39" s="4" t="str">
        <f ca="1">IFERROR(AVERAGEIFS(tbDrills[ציון],tbDrills[מאבטח],tbEmploDetails[[#This Row],[שם מלא]],tbDrills[תאריך],"&gt;="&amp;yearAgoCell),"")</f>
        <v/>
      </c>
      <c r="AL39" t="s">
        <v>671</v>
      </c>
      <c r="AM39" s="370">
        <v>7</v>
      </c>
      <c r="AN39" s="4"/>
      <c r="AO39" s="4"/>
      <c r="AP39" s="4">
        <f>ROW()</f>
        <v>39</v>
      </c>
      <c r="AQ39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הנביאים 7 , רמת גן</v>
      </c>
    </row>
    <row r="40" spans="1:43">
      <c r="A40" s="371" t="s">
        <v>429</v>
      </c>
      <c r="B40" s="371" t="s">
        <v>430</v>
      </c>
      <c r="C40" s="4" t="str">
        <f>TRIM(tbEmploDetails[[#This Row],[שם משפחה]])&amp;" "&amp;TRIM(tbEmploDetails[[#This Row],[שם פרטי]])</f>
        <v>הררי יוני</v>
      </c>
      <c r="D40" t="s">
        <v>497</v>
      </c>
      <c r="E40" t="s">
        <v>543</v>
      </c>
      <c r="F40" t="s">
        <v>599</v>
      </c>
      <c r="G40" t="str">
        <f>TRIM(tbEmploDetails[[#This Row],[כתובת - שם רחוב]]&amp;" "&amp;tbEmploDetails[[#This Row],[כתובת - מס'' רחוב]])</f>
        <v>יהודה המכבי 60</v>
      </c>
      <c r="H40" t="s">
        <v>657</v>
      </c>
      <c r="I40" s="49" t="s">
        <v>35</v>
      </c>
      <c r="J40" s="6"/>
      <c r="L40" t="str">
        <f>TRIM(tbEmploDetails[[#This Row],[איש קשר - שם מלא]] &amp; " (" &amp; tbEmploDetails[[#This Row],[איש קשר - טיב קשר]] &amp; ")")</f>
        <v>()</v>
      </c>
      <c r="M40" s="43">
        <v>44901</v>
      </c>
      <c r="N40" s="4">
        <f ca="1">IF(tbEmploDetails[[#This Row],[תאריך תחילת תעסוקה נוכחית]],TODAY()-tbEmploDetails[[#This Row],[תאריך תחילת תעסוקה נוכחית]],"חסר מידע")</f>
        <v>657</v>
      </c>
      <c r="O40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 שנים, 9 חודשים</v>
      </c>
      <c r="P40" s="49" t="s">
        <v>120</v>
      </c>
      <c r="Q40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40" s="48">
        <f>MAX(_xlfn.MAXIFS(tbShetchExam[מס'' פעם], tbShetchExam[נבחן],tbEmploDetails[[#This Row],[שם מלא]]))</f>
        <v>0</v>
      </c>
      <c r="S40" t="s">
        <v>40</v>
      </c>
      <c r="T40" t="s">
        <v>42</v>
      </c>
      <c r="U40" t="s">
        <v>93</v>
      </c>
      <c r="V40" s="2">
        <v>45476</v>
      </c>
      <c r="W40" s="4">
        <f ca="1">IF(tbEmploDetails[[#This Row],[תאריך הצ'' בריאות נוכחית]],EDATE(tbEmploDetails[[#This Row],[תאריך הצ'' בריאות נוכחית]],12)-TODAY(),"")</f>
        <v>283</v>
      </c>
      <c r="X40" s="4">
        <f>COUNTIFS(tbLate[איחור בדק''/חור],"&lt;&gt;חור",tbLate[שם המאחר],tbEmploDetails[[#This Row],[שם מלא]])</f>
        <v>0</v>
      </c>
      <c r="Y40" s="4">
        <f>COUNTIFS(tbLate[איחור בדק''/חור],"חור",tbLate[שם המאחר],tbEmploDetails[[#This Row],[שם מלא]])</f>
        <v>0</v>
      </c>
      <c r="Z40" s="133" t="str">
        <f>IFERROR(AVERAGEIFS(tbLate[איחור בדק''/חור],tbLate[שם המאחר],tbEmploDetails[[#This Row],[שם מלא]]),"")</f>
        <v/>
      </c>
      <c r="AA40" s="4">
        <f ca="1">COUNTIFS(tbLate[שם המאחר],tbEmploDetails[[#This Row],[שם מלא]],tbLate[תאריך],"&gt;"&amp;months2AgoCell,tbLate[מס''דק''איחור],"&gt;0")</f>
        <v>0</v>
      </c>
      <c r="AB40" s="4">
        <f ca="1">COUNTIFS(tbLate[שם המאחר],tbEmploDetails[[#This Row],[שם מלא]],tbLate[תאריך],"&gt;"&amp;months2AgoCell,tbLate[האם חור],"&gt;0")</f>
        <v>0</v>
      </c>
      <c r="AC40" s="4">
        <f>COUNTIFS(tbPerfReview[מאבטח],tbEmploDetails[[#This Row],[שם מלא]])</f>
        <v>1</v>
      </c>
      <c r="AD40" s="133">
        <f>IFERROR(AVERAGEIFS(tbPerfReview[ציון],tbPerfReview[מאבטח],tbEmploDetails[[#This Row],[שם מלא]]),"")</f>
        <v>5</v>
      </c>
      <c r="AE40" s="4">
        <f ca="1">COUNTIFS(tbPerfReview[תאריך],"&gt;"&amp;yearAgoCell,tbPerfReview[מאבטח],tbEmploDetails[[#This Row],[שם מלא]])</f>
        <v>1</v>
      </c>
      <c r="AF40" s="133">
        <f ca="1">IFERROR(AVERAGEIFS(tbPerfReview[ציון],tbPerfReview[מאבטח],tbEmploDetails[[#This Row],[שם מלא]],tbPerfReview[תאריך],"&gt;="&amp;yearAgoCell),"")</f>
        <v>5</v>
      </c>
      <c r="AG40" s="4"/>
      <c r="AH40" s="4">
        <f>COUNTIFS(tbDrills[מאבטח],tbEmploDetails[[#This Row],[שם מלא]])</f>
        <v>0</v>
      </c>
      <c r="AI40" s="4" t="str">
        <f>IFERROR(AVERAGEIFS(tbDrills[ציון],tbDrills[מאבטח],tbEmploDetails[[#This Row],[שם מלא]]),"")</f>
        <v/>
      </c>
      <c r="AJ40" s="4">
        <f ca="1">COUNTIFS(tbDrills[תאריך],"&gt;"&amp;yearAgoCell,tbDrills[מאבטח],tbEmploDetails[[#This Row],[שם מלא]])</f>
        <v>0</v>
      </c>
      <c r="AK40" s="4" t="str">
        <f ca="1">IFERROR(AVERAGEIFS(tbDrills[ציון],tbDrills[מאבטח],tbEmploDetails[[#This Row],[שם מלא]],tbDrills[תאריך],"&gt;="&amp;yearAgoCell),"")</f>
        <v/>
      </c>
      <c r="AL40" t="s">
        <v>672</v>
      </c>
      <c r="AM40" s="370">
        <v>60</v>
      </c>
      <c r="AN40" s="4"/>
      <c r="AO40" s="4"/>
      <c r="AP40" s="4">
        <f>ROW()</f>
        <v>40</v>
      </c>
      <c r="AQ40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יהודה המכבי 60 , טבריה</v>
      </c>
    </row>
    <row r="41" spans="1:43">
      <c r="A41" s="371" t="s">
        <v>33</v>
      </c>
      <c r="B41" s="371" t="s">
        <v>108</v>
      </c>
      <c r="C41" s="4" t="str">
        <f>TRIM(tbEmploDetails[[#This Row],[שם משפחה]])&amp;" "&amp;TRIM(tbEmploDetails[[#This Row],[שם פרטי]])</f>
        <v>כהן עדי</v>
      </c>
      <c r="D41" t="s">
        <v>498</v>
      </c>
      <c r="E41" t="s">
        <v>547</v>
      </c>
      <c r="F41" t="s">
        <v>600</v>
      </c>
      <c r="G41" t="str">
        <f>TRIM(tbEmploDetails[[#This Row],[כתובת - שם רחוב]]&amp;" "&amp;tbEmploDetails[[#This Row],[כתובת - מס'' רחוב]])</f>
        <v>החשמונאים 25</v>
      </c>
      <c r="H41" t="s">
        <v>630</v>
      </c>
      <c r="I41" s="49" t="s">
        <v>35</v>
      </c>
      <c r="J41" s="6"/>
      <c r="L41" t="str">
        <f>TRIM(tbEmploDetails[[#This Row],[איש קשר - שם מלא]] &amp; " (" &amp; tbEmploDetails[[#This Row],[איש קשר - טיב קשר]] &amp; ")")</f>
        <v>()</v>
      </c>
      <c r="M41" s="43">
        <v>42611</v>
      </c>
      <c r="N41" s="4">
        <f ca="1">IF(tbEmploDetails[[#This Row],[תאריך תחילת תעסוקה נוכחית]],TODAY()-tbEmploDetails[[#This Row],[תאריך תחילת תעסוקה נוכחית]],"חסר מידע")</f>
        <v>2947</v>
      </c>
      <c r="O41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4 ימים</v>
      </c>
      <c r="P41" s="49" t="s">
        <v>120</v>
      </c>
      <c r="Q41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41" s="48">
        <f>MAX(_xlfn.MAXIFS(tbShetchExam[מס'' פעם], tbShetchExam[נבחן],tbEmploDetails[[#This Row],[שם מלא]]))</f>
        <v>0</v>
      </c>
      <c r="S41" t="s">
        <v>41</v>
      </c>
      <c r="T41" t="s">
        <v>43</v>
      </c>
      <c r="U41" t="s">
        <v>93</v>
      </c>
      <c r="V41" s="2">
        <v>45529</v>
      </c>
      <c r="W41" s="4">
        <f ca="1">IF(tbEmploDetails[[#This Row],[תאריך הצ'' בריאות נוכחית]],EDATE(tbEmploDetails[[#This Row],[תאריך הצ'' בריאות נוכחית]],12)-TODAY(),"")</f>
        <v>336</v>
      </c>
      <c r="X41" s="4">
        <f>COUNTIFS(tbLate[איחור בדק''/חור],"&lt;&gt;חור",tbLate[שם המאחר],tbEmploDetails[[#This Row],[שם מלא]])</f>
        <v>0</v>
      </c>
      <c r="Y41" s="4">
        <f>COUNTIFS(tbLate[איחור בדק''/חור],"חור",tbLate[שם המאחר],tbEmploDetails[[#This Row],[שם מלא]])</f>
        <v>0</v>
      </c>
      <c r="Z41" s="133" t="str">
        <f>IFERROR(AVERAGEIFS(tbLate[איחור בדק''/חור],tbLate[שם המאחר],tbEmploDetails[[#This Row],[שם מלא]]),"")</f>
        <v/>
      </c>
      <c r="AA41" s="4">
        <f ca="1">COUNTIFS(tbLate[שם המאחר],tbEmploDetails[[#This Row],[שם מלא]],tbLate[תאריך],"&gt;"&amp;months2AgoCell,tbLate[מס''דק''איחור],"&gt;0")</f>
        <v>0</v>
      </c>
      <c r="AB41" s="4">
        <f ca="1">COUNTIFS(tbLate[שם המאחר],tbEmploDetails[[#This Row],[שם מלא]],tbLate[תאריך],"&gt;"&amp;months2AgoCell,tbLate[האם חור],"&gt;0")</f>
        <v>0</v>
      </c>
      <c r="AC41" s="4">
        <f>COUNTIFS(tbPerfReview[מאבטח],tbEmploDetails[[#This Row],[שם מלא]])</f>
        <v>1</v>
      </c>
      <c r="AD41" s="133">
        <f>IFERROR(AVERAGEIFS(tbPerfReview[ציון],tbPerfReview[מאבטח],tbEmploDetails[[#This Row],[שם מלא]]),"")</f>
        <v>5</v>
      </c>
      <c r="AE41" s="4">
        <f ca="1">COUNTIFS(tbPerfReview[תאריך],"&gt;"&amp;yearAgoCell,tbPerfReview[מאבטח],tbEmploDetails[[#This Row],[שם מלא]])</f>
        <v>1</v>
      </c>
      <c r="AF41" s="133">
        <f ca="1">IFERROR(AVERAGEIFS(tbPerfReview[ציון],tbPerfReview[מאבטח],tbEmploDetails[[#This Row],[שם מלא]],tbPerfReview[תאריך],"&gt;="&amp;yearAgoCell),"")</f>
        <v>5</v>
      </c>
      <c r="AG41" s="4"/>
      <c r="AH41" s="4">
        <f>COUNTIFS(tbDrills[מאבטח],tbEmploDetails[[#This Row],[שם מלא]])</f>
        <v>0</v>
      </c>
      <c r="AI41" s="4" t="str">
        <f>IFERROR(AVERAGEIFS(tbDrills[ציון],tbDrills[מאבטח],tbEmploDetails[[#This Row],[שם מלא]]),"")</f>
        <v/>
      </c>
      <c r="AJ41" s="4">
        <f ca="1">COUNTIFS(tbDrills[תאריך],"&gt;"&amp;yearAgoCell,tbDrills[מאבטח],tbEmploDetails[[#This Row],[שם מלא]])</f>
        <v>0</v>
      </c>
      <c r="AK41" s="4" t="str">
        <f ca="1">IFERROR(AVERAGEIFS(tbDrills[ציון],tbDrills[מאבטח],tbEmploDetails[[#This Row],[שם מלא]],tbDrills[תאריך],"&gt;="&amp;yearAgoCell),"")</f>
        <v/>
      </c>
      <c r="AL41" t="s">
        <v>673</v>
      </c>
      <c r="AM41" s="370">
        <v>25</v>
      </c>
      <c r="AN41" s="4"/>
      <c r="AO41" s="4"/>
      <c r="AP41" s="4">
        <f>ROW()</f>
        <v>41</v>
      </c>
      <c r="AQ41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החשמונאים 25 , תל אביב</v>
      </c>
    </row>
    <row r="42" spans="1:43">
      <c r="A42" s="371" t="s">
        <v>431</v>
      </c>
      <c r="B42" s="371" t="s">
        <v>432</v>
      </c>
      <c r="C42" s="4" t="str">
        <f>TRIM(tbEmploDetails[[#This Row],[שם משפחה]])&amp;" "&amp;TRIM(tbEmploDetails[[#This Row],[שם פרטי]])</f>
        <v>שגיא ליאת</v>
      </c>
      <c r="D42" t="s">
        <v>499</v>
      </c>
      <c r="E42" t="s">
        <v>534</v>
      </c>
      <c r="F42" t="s">
        <v>601</v>
      </c>
      <c r="G42" t="str">
        <f>TRIM(tbEmploDetails[[#This Row],[כתובת - שם רחוב]]&amp;" "&amp;tbEmploDetails[[#This Row],[כתובת - מס'' רחוב]])</f>
        <v>הנשיא ויצמן 99</v>
      </c>
      <c r="H42" t="s">
        <v>630</v>
      </c>
      <c r="I42" s="49" t="s">
        <v>35</v>
      </c>
      <c r="J42" s="6"/>
      <c r="L42" t="str">
        <f>TRIM(tbEmploDetails[[#This Row],[איש קשר - שם מלא]] &amp; " (" &amp; tbEmploDetails[[#This Row],[איש קשר - טיב קשר]] &amp; ")")</f>
        <v>()</v>
      </c>
      <c r="M42" s="43">
        <v>43232</v>
      </c>
      <c r="N42" s="4">
        <f ca="1">IF(tbEmploDetails[[#This Row],[תאריך תחילת תעסוקה נוכחית]],TODAY()-tbEmploDetails[[#This Row],[תאריך תחילת תעסוקה נוכחית]],"חסר מידע")</f>
        <v>2326</v>
      </c>
      <c r="O42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6 שנים, 4 חודשים</v>
      </c>
      <c r="P42" s="49" t="s">
        <v>120</v>
      </c>
      <c r="Q42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42" s="48">
        <f>MAX(_xlfn.MAXIFS(tbShetchExam[מס'' פעם], tbShetchExam[נבחן],tbEmploDetails[[#This Row],[שם מלא]]))</f>
        <v>0</v>
      </c>
      <c r="S42" t="s">
        <v>40</v>
      </c>
      <c r="T42" t="s">
        <v>42</v>
      </c>
      <c r="U42" t="s">
        <v>98</v>
      </c>
      <c r="V42" s="2">
        <v>45476</v>
      </c>
      <c r="W42" s="4">
        <f ca="1">IF(tbEmploDetails[[#This Row],[תאריך הצ'' בריאות נוכחית]],EDATE(tbEmploDetails[[#This Row],[תאריך הצ'' בריאות נוכחית]],12)-TODAY(),"")</f>
        <v>283</v>
      </c>
      <c r="X42" s="4">
        <f>COUNTIFS(tbLate[איחור בדק''/חור],"&lt;&gt;חור",tbLate[שם המאחר],tbEmploDetails[[#This Row],[שם מלא]])</f>
        <v>0</v>
      </c>
      <c r="Y42" s="4">
        <f>COUNTIFS(tbLate[איחור בדק''/חור],"חור",tbLate[שם המאחר],tbEmploDetails[[#This Row],[שם מלא]])</f>
        <v>0</v>
      </c>
      <c r="Z42" s="133" t="str">
        <f>IFERROR(AVERAGEIFS(tbLate[איחור בדק''/חור],tbLate[שם המאחר],tbEmploDetails[[#This Row],[שם מלא]]),"")</f>
        <v/>
      </c>
      <c r="AA42" s="4">
        <f ca="1">COUNTIFS(tbLate[שם המאחר],tbEmploDetails[[#This Row],[שם מלא]],tbLate[תאריך],"&gt;"&amp;months2AgoCell,tbLate[מס''דק''איחור],"&gt;0")</f>
        <v>0</v>
      </c>
      <c r="AB42" s="4">
        <f ca="1">COUNTIFS(tbLate[שם המאחר],tbEmploDetails[[#This Row],[שם מלא]],tbLate[תאריך],"&gt;"&amp;months2AgoCell,tbLate[האם חור],"&gt;0")</f>
        <v>0</v>
      </c>
      <c r="AC42" s="4">
        <f>COUNTIFS(tbPerfReview[מאבטח],tbEmploDetails[[#This Row],[שם מלא]])</f>
        <v>0</v>
      </c>
      <c r="AD42" s="133" t="str">
        <f>IFERROR(AVERAGEIFS(tbPerfReview[ציון],tbPerfReview[מאבטח],tbEmploDetails[[#This Row],[שם מלא]]),"")</f>
        <v/>
      </c>
      <c r="AE42" s="4">
        <f ca="1">COUNTIFS(tbPerfReview[תאריך],"&gt;"&amp;yearAgoCell,tbPerfReview[מאבטח],tbEmploDetails[[#This Row],[שם מלא]])</f>
        <v>0</v>
      </c>
      <c r="AF42" s="133" t="str">
        <f ca="1">IFERROR(AVERAGEIFS(tbPerfReview[ציון],tbPerfReview[מאבטח],tbEmploDetails[[#This Row],[שם מלא]],tbPerfReview[תאריך],"&gt;="&amp;yearAgoCell),"")</f>
        <v/>
      </c>
      <c r="AG42" s="4"/>
      <c r="AH42" s="4">
        <f>COUNTIFS(tbDrills[מאבטח],tbEmploDetails[[#This Row],[שם מלא]])</f>
        <v>0</v>
      </c>
      <c r="AI42" s="4" t="str">
        <f>IFERROR(AVERAGEIFS(tbDrills[ציון],tbDrills[מאבטח],tbEmploDetails[[#This Row],[שם מלא]]),"")</f>
        <v/>
      </c>
      <c r="AJ42" s="4">
        <f ca="1">COUNTIFS(tbDrills[תאריך],"&gt;"&amp;yearAgoCell,tbDrills[מאבטח],tbEmploDetails[[#This Row],[שם מלא]])</f>
        <v>0</v>
      </c>
      <c r="AK42" s="4" t="str">
        <f ca="1">IFERROR(AVERAGEIFS(tbDrills[ציון],tbDrills[מאבטח],tbEmploDetails[[#This Row],[שם מלא]],tbDrills[תאריך],"&gt;="&amp;yearAgoCell),"")</f>
        <v/>
      </c>
      <c r="AL42" t="s">
        <v>674</v>
      </c>
      <c r="AM42" s="370">
        <v>99</v>
      </c>
      <c r="AN42" s="4"/>
      <c r="AO42" s="4"/>
      <c r="AP42" s="4">
        <f>ROW()</f>
        <v>42</v>
      </c>
      <c r="AQ42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הנשיא ויצמן 99 , תל אביב</v>
      </c>
    </row>
    <row r="43" spans="1:43">
      <c r="A43" s="371" t="s">
        <v>433</v>
      </c>
      <c r="B43" s="371" t="s">
        <v>434</v>
      </c>
      <c r="C43" s="4" t="str">
        <f>TRIM(tbEmploDetails[[#This Row],[שם משפחה]])&amp;" "&amp;TRIM(tbEmploDetails[[#This Row],[שם פרטי]])</f>
        <v>קרמר דנה</v>
      </c>
      <c r="D43" t="s">
        <v>500</v>
      </c>
      <c r="E43" t="s">
        <v>546</v>
      </c>
      <c r="F43" t="s">
        <v>602</v>
      </c>
      <c r="G43" t="str">
        <f>TRIM(tbEmploDetails[[#This Row],[כתובת - שם רחוב]]&amp;" "&amp;tbEmploDetails[[#This Row],[כתובת - מס'' רחוב]])</f>
        <v>המגינים 14</v>
      </c>
      <c r="H43" t="s">
        <v>631</v>
      </c>
      <c r="I43" s="49" t="s">
        <v>36</v>
      </c>
      <c r="J43" s="6"/>
      <c r="L43" t="str">
        <f>TRIM(tbEmploDetails[[#This Row],[איש קשר - שם מלא]] &amp; " (" &amp; tbEmploDetails[[#This Row],[איש קשר - טיב קשר]] &amp; ")")</f>
        <v>()</v>
      </c>
      <c r="M43" s="43">
        <v>44158</v>
      </c>
      <c r="N43" s="4">
        <f ca="1">IF(tbEmploDetails[[#This Row],[תאריך תחילת תעסוקה נוכחית]],TODAY()-tbEmploDetails[[#This Row],[תאריך תחילת תעסוקה נוכחית]],"חסר מידע")</f>
        <v>1400</v>
      </c>
      <c r="O43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10 חודשים</v>
      </c>
      <c r="P43" s="49" t="s">
        <v>120</v>
      </c>
      <c r="Q43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43" s="48">
        <f>MAX(_xlfn.MAXIFS(tbShetchExam[מס'' פעם], tbShetchExam[נבחן],tbEmploDetails[[#This Row],[שם מלא]]))</f>
        <v>0</v>
      </c>
      <c r="S43" t="s">
        <v>40</v>
      </c>
      <c r="T43" t="s">
        <v>42</v>
      </c>
      <c r="U43" t="s">
        <v>93</v>
      </c>
      <c r="V43" s="2">
        <v>45529</v>
      </c>
      <c r="W43" s="4">
        <f ca="1">IF(tbEmploDetails[[#This Row],[תאריך הצ'' בריאות נוכחית]],EDATE(tbEmploDetails[[#This Row],[תאריך הצ'' בריאות נוכחית]],12)-TODAY(),"")</f>
        <v>336</v>
      </c>
      <c r="X43" s="4">
        <f>COUNTIFS(tbLate[איחור בדק''/חור],"&lt;&gt;חור",tbLate[שם המאחר],tbEmploDetails[[#This Row],[שם מלא]])</f>
        <v>0</v>
      </c>
      <c r="Y43" s="4">
        <f>COUNTIFS(tbLate[איחור בדק''/חור],"חור",tbLate[שם המאחר],tbEmploDetails[[#This Row],[שם מלא]])</f>
        <v>0</v>
      </c>
      <c r="Z43" s="133" t="str">
        <f>IFERROR(AVERAGEIFS(tbLate[איחור בדק''/חור],tbLate[שם המאחר],tbEmploDetails[[#This Row],[שם מלא]]),"")</f>
        <v/>
      </c>
      <c r="AA43" s="4">
        <f ca="1">COUNTIFS(tbLate[שם המאחר],tbEmploDetails[[#This Row],[שם מלא]],tbLate[תאריך],"&gt;"&amp;months2AgoCell,tbLate[מס''דק''איחור],"&gt;0")</f>
        <v>0</v>
      </c>
      <c r="AB43" s="4">
        <f ca="1">COUNTIFS(tbLate[שם המאחר],tbEmploDetails[[#This Row],[שם מלא]],tbLate[תאריך],"&gt;"&amp;months2AgoCell,tbLate[האם חור],"&gt;0")</f>
        <v>0</v>
      </c>
      <c r="AC43" s="4">
        <f>COUNTIFS(tbPerfReview[מאבטח],tbEmploDetails[[#This Row],[שם מלא]])</f>
        <v>0</v>
      </c>
      <c r="AD43" s="133" t="str">
        <f>IFERROR(AVERAGEIFS(tbPerfReview[ציון],tbPerfReview[מאבטח],tbEmploDetails[[#This Row],[שם מלא]]),"")</f>
        <v/>
      </c>
      <c r="AE43" s="4">
        <f ca="1">COUNTIFS(tbPerfReview[תאריך],"&gt;"&amp;yearAgoCell,tbPerfReview[מאבטח],tbEmploDetails[[#This Row],[שם מלא]])</f>
        <v>0</v>
      </c>
      <c r="AF43" s="133" t="str">
        <f ca="1">IFERROR(AVERAGEIFS(tbPerfReview[ציון],tbPerfReview[מאבטח],tbEmploDetails[[#This Row],[שם מלא]],tbPerfReview[תאריך],"&gt;="&amp;yearAgoCell),"")</f>
        <v/>
      </c>
      <c r="AG43" s="4"/>
      <c r="AH43" s="4">
        <f>COUNTIFS(tbDrills[מאבטח],tbEmploDetails[[#This Row],[שם מלא]])</f>
        <v>0</v>
      </c>
      <c r="AI43" s="4" t="str">
        <f>IFERROR(AVERAGEIFS(tbDrills[ציון],tbDrills[מאבטח],tbEmploDetails[[#This Row],[שם מלא]]),"")</f>
        <v/>
      </c>
      <c r="AJ43" s="4">
        <f ca="1">COUNTIFS(tbDrills[תאריך],"&gt;"&amp;yearAgoCell,tbDrills[מאבטח],tbEmploDetails[[#This Row],[שם מלא]])</f>
        <v>0</v>
      </c>
      <c r="AK43" s="4" t="str">
        <f ca="1">IFERROR(AVERAGEIFS(tbDrills[ציון],tbDrills[מאבטח],tbEmploDetails[[#This Row],[שם מלא]],tbDrills[תאריך],"&gt;="&amp;yearAgoCell),"")</f>
        <v/>
      </c>
      <c r="AL43" t="s">
        <v>675</v>
      </c>
      <c r="AM43" s="370">
        <v>14</v>
      </c>
      <c r="AN43" s="4"/>
      <c r="AO43" s="4"/>
      <c r="AP43" s="4">
        <f>ROW()</f>
        <v>43</v>
      </c>
      <c r="AQ43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המגינים 14 , חיפה</v>
      </c>
    </row>
    <row r="44" spans="1:43">
      <c r="A44" s="371" t="s">
        <v>435</v>
      </c>
      <c r="B44" s="371" t="s">
        <v>436</v>
      </c>
      <c r="C44" s="4" t="str">
        <f>TRIM(tbEmploDetails[[#This Row],[שם משפחה]])&amp;" "&amp;TRIM(tbEmploDetails[[#This Row],[שם פרטי]])</f>
        <v>מגן נדב</v>
      </c>
      <c r="D44" t="s">
        <v>501</v>
      </c>
      <c r="E44" t="s">
        <v>522</v>
      </c>
      <c r="F44" t="s">
        <v>603</v>
      </c>
      <c r="G44" t="str">
        <f>TRIM(tbEmploDetails[[#This Row],[כתובת - שם רחוב]]&amp;" "&amp;tbEmploDetails[[#This Row],[כתובת - מס'' רחוב]])</f>
        <v>המייסדים 20</v>
      </c>
      <c r="H44" t="s">
        <v>632</v>
      </c>
      <c r="I44" s="49" t="s">
        <v>35</v>
      </c>
      <c r="J44" s="6"/>
      <c r="L44" t="str">
        <f>TRIM(tbEmploDetails[[#This Row],[איש קשר - שם מלא]] &amp; " (" &amp; tbEmploDetails[[#This Row],[איש קשר - טיב קשר]] &amp; ")")</f>
        <v>()</v>
      </c>
      <c r="M44" s="43">
        <v>42802</v>
      </c>
      <c r="N44" s="4">
        <f ca="1">IF(tbEmploDetails[[#This Row],[תאריך תחילת תעסוקה נוכחית]],TODAY()-tbEmploDetails[[#This Row],[תאריך תחילת תעסוקה נוכחית]],"חסר מידע")</f>
        <v>2756</v>
      </c>
      <c r="O44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7 שנים, 6 חודשים</v>
      </c>
      <c r="P44" s="49" t="s">
        <v>120</v>
      </c>
      <c r="Q44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44" s="48">
        <f>MAX(_xlfn.MAXIFS(tbShetchExam[מס'' פעם], tbShetchExam[נבחן],tbEmploDetails[[#This Row],[שם מלא]]))</f>
        <v>0</v>
      </c>
      <c r="S44" t="s">
        <v>40</v>
      </c>
      <c r="T44" t="s">
        <v>42</v>
      </c>
      <c r="U44" t="s">
        <v>93</v>
      </c>
      <c r="V44" s="2">
        <v>45571</v>
      </c>
      <c r="W44" s="4">
        <f ca="1">IF(tbEmploDetails[[#This Row],[תאריך הצ'' בריאות נוכחית]],EDATE(tbEmploDetails[[#This Row],[תאריך הצ'' בריאות נוכחית]],12)-TODAY(),"")</f>
        <v>378</v>
      </c>
      <c r="X44" s="4">
        <f>COUNTIFS(tbLate[איחור בדק''/חור],"&lt;&gt;חור",tbLate[שם המאחר],tbEmploDetails[[#This Row],[שם מלא]])</f>
        <v>0</v>
      </c>
      <c r="Y44" s="4">
        <f>COUNTIFS(tbLate[איחור בדק''/חור],"חור",tbLate[שם המאחר],tbEmploDetails[[#This Row],[שם מלא]])</f>
        <v>0</v>
      </c>
      <c r="Z44" s="133" t="str">
        <f>IFERROR(AVERAGEIFS(tbLate[איחור בדק''/חור],tbLate[שם המאחר],tbEmploDetails[[#This Row],[שם מלא]]),"")</f>
        <v/>
      </c>
      <c r="AA44" s="4">
        <f ca="1">COUNTIFS(tbLate[שם המאחר],tbEmploDetails[[#This Row],[שם מלא]],tbLate[תאריך],"&gt;"&amp;months2AgoCell,tbLate[מס''דק''איחור],"&gt;0")</f>
        <v>0</v>
      </c>
      <c r="AB44" s="4">
        <f ca="1">COUNTIFS(tbLate[שם המאחר],tbEmploDetails[[#This Row],[שם מלא]],tbLate[תאריך],"&gt;"&amp;months2AgoCell,tbLate[האם חור],"&gt;0")</f>
        <v>0</v>
      </c>
      <c r="AC44" s="4">
        <f>COUNTIFS(tbPerfReview[מאבטח],tbEmploDetails[[#This Row],[שם מלא]])</f>
        <v>0</v>
      </c>
      <c r="AD44" s="133" t="str">
        <f>IFERROR(AVERAGEIFS(tbPerfReview[ציון],tbPerfReview[מאבטח],tbEmploDetails[[#This Row],[שם מלא]]),"")</f>
        <v/>
      </c>
      <c r="AE44" s="4">
        <f ca="1">COUNTIFS(tbPerfReview[תאריך],"&gt;"&amp;yearAgoCell,tbPerfReview[מאבטח],tbEmploDetails[[#This Row],[שם מלא]])</f>
        <v>0</v>
      </c>
      <c r="AF44" s="133" t="str">
        <f ca="1">IFERROR(AVERAGEIFS(tbPerfReview[ציון],tbPerfReview[מאבטח],tbEmploDetails[[#This Row],[שם מלא]],tbPerfReview[תאריך],"&gt;="&amp;yearAgoCell),"")</f>
        <v/>
      </c>
      <c r="AG44" s="4"/>
      <c r="AH44" s="4">
        <f>COUNTIFS(tbDrills[מאבטח],tbEmploDetails[[#This Row],[שם מלא]])</f>
        <v>0</v>
      </c>
      <c r="AI44" s="4" t="str">
        <f>IFERROR(AVERAGEIFS(tbDrills[ציון],tbDrills[מאבטח],tbEmploDetails[[#This Row],[שם מלא]]),"")</f>
        <v/>
      </c>
      <c r="AJ44" s="4">
        <f ca="1">COUNTIFS(tbDrills[תאריך],"&gt;"&amp;yearAgoCell,tbDrills[מאבטח],tbEmploDetails[[#This Row],[שם מלא]])</f>
        <v>0</v>
      </c>
      <c r="AK44" s="4" t="str">
        <f ca="1">IFERROR(AVERAGEIFS(tbDrills[ציון],tbDrills[מאבטח],tbEmploDetails[[#This Row],[שם מלא]],tbDrills[תאריך],"&gt;="&amp;yearAgoCell),"")</f>
        <v/>
      </c>
      <c r="AL44" t="s">
        <v>676</v>
      </c>
      <c r="AM44" s="370">
        <v>20</v>
      </c>
      <c r="AN44" s="4"/>
      <c r="AO44" s="4"/>
      <c r="AP44" s="4">
        <f>ROW()</f>
        <v>44</v>
      </c>
      <c r="AQ44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המייסדים 20 , ירושלים</v>
      </c>
    </row>
    <row r="45" spans="1:43">
      <c r="A45" s="371" t="s">
        <v>355</v>
      </c>
      <c r="B45" s="371" t="s">
        <v>105</v>
      </c>
      <c r="C45" s="4" t="str">
        <f>TRIM(tbEmploDetails[[#This Row],[שם משפחה]])&amp;" "&amp;TRIM(tbEmploDetails[[#This Row],[שם פרטי]])</f>
        <v>אלון עומר</v>
      </c>
      <c r="D45" t="s">
        <v>502</v>
      </c>
      <c r="E45" t="s">
        <v>548</v>
      </c>
      <c r="F45" t="s">
        <v>604</v>
      </c>
      <c r="G45" t="str">
        <f>TRIM(tbEmploDetails[[#This Row],[כתובת - שם רחוב]]&amp;" "&amp;tbEmploDetails[[#This Row],[כתובת - מס'' רחוב]])</f>
        <v>ז'בוטינסקי 15</v>
      </c>
      <c r="H45" t="s">
        <v>633</v>
      </c>
      <c r="I45" s="49" t="s">
        <v>35</v>
      </c>
      <c r="J45" s="6"/>
      <c r="L45" t="str">
        <f>TRIM(tbEmploDetails[[#This Row],[איש קשר - שם מלא]] &amp; " (" &amp; tbEmploDetails[[#This Row],[איש קשר - טיב קשר]] &amp; ")")</f>
        <v>()</v>
      </c>
      <c r="M45" s="43">
        <v>44392</v>
      </c>
      <c r="N45" s="4">
        <f ca="1">IF(tbEmploDetails[[#This Row],[תאריך תחילת תעסוקה נוכחית]],TODAY()-tbEmploDetails[[#This Row],[תאריך תחילת תעסוקה נוכחית]],"חסר מידע")</f>
        <v>1166</v>
      </c>
      <c r="O45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2 חודשים</v>
      </c>
      <c r="P45" s="49" t="s">
        <v>120</v>
      </c>
      <c r="Q45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45" s="48">
        <f>MAX(_xlfn.MAXIFS(tbShetchExam[מס'' פעם], tbShetchExam[נבחן],tbEmploDetails[[#This Row],[שם מלא]]))</f>
        <v>0</v>
      </c>
      <c r="S45" t="s">
        <v>41</v>
      </c>
      <c r="T45" t="s">
        <v>43</v>
      </c>
      <c r="U45" t="s">
        <v>93</v>
      </c>
      <c r="V45" s="2">
        <v>45610</v>
      </c>
      <c r="W45" s="4">
        <f ca="1">IF(tbEmploDetails[[#This Row],[תאריך הצ'' בריאות נוכחית]],EDATE(tbEmploDetails[[#This Row],[תאריך הצ'' בריאות נוכחית]],12)-TODAY(),"")</f>
        <v>417</v>
      </c>
      <c r="X45" s="4">
        <f>COUNTIFS(tbLate[איחור בדק''/חור],"&lt;&gt;חור",tbLate[שם המאחר],tbEmploDetails[[#This Row],[שם מלא]])</f>
        <v>2</v>
      </c>
      <c r="Y45" s="4">
        <f>COUNTIFS(tbLate[איחור בדק''/חור],"חור",tbLate[שם המאחר],tbEmploDetails[[#This Row],[שם מלא]])</f>
        <v>0</v>
      </c>
      <c r="Z45" s="133">
        <f>IFERROR(AVERAGEIFS(tbLate[איחור בדק''/חור],tbLate[שם המאחר],tbEmploDetails[[#This Row],[שם מלא]]),"")</f>
        <v>36</v>
      </c>
      <c r="AA45" s="4">
        <f ca="1">COUNTIFS(tbLate[שם המאחר],tbEmploDetails[[#This Row],[שם מלא]],tbLate[תאריך],"&gt;"&amp;months2AgoCell,tbLate[מס''דק''איחור],"&gt;0")</f>
        <v>2</v>
      </c>
      <c r="AB45" s="4">
        <f ca="1">COUNTIFS(tbLate[שם המאחר],tbEmploDetails[[#This Row],[שם מלא]],tbLate[תאריך],"&gt;"&amp;months2AgoCell,tbLate[האם חור],"&gt;0")</f>
        <v>0</v>
      </c>
      <c r="AC45" s="4">
        <f>COUNTIFS(tbPerfReview[מאבטח],tbEmploDetails[[#This Row],[שם מלא]])</f>
        <v>0</v>
      </c>
      <c r="AD45" s="133" t="str">
        <f>IFERROR(AVERAGEIFS(tbPerfReview[ציון],tbPerfReview[מאבטח],tbEmploDetails[[#This Row],[שם מלא]]),"")</f>
        <v/>
      </c>
      <c r="AE45" s="4">
        <f ca="1">COUNTIFS(tbPerfReview[תאריך],"&gt;"&amp;yearAgoCell,tbPerfReview[מאבטח],tbEmploDetails[[#This Row],[שם מלא]])</f>
        <v>0</v>
      </c>
      <c r="AF45" s="133" t="str">
        <f ca="1">IFERROR(AVERAGEIFS(tbPerfReview[ציון],tbPerfReview[מאבטח],tbEmploDetails[[#This Row],[שם מלא]],tbPerfReview[תאריך],"&gt;="&amp;yearAgoCell),"")</f>
        <v/>
      </c>
      <c r="AG45" s="4"/>
      <c r="AH45" s="4">
        <f>COUNTIFS(tbDrills[מאבטח],tbEmploDetails[[#This Row],[שם מלא]])</f>
        <v>0</v>
      </c>
      <c r="AI45" s="4" t="str">
        <f>IFERROR(AVERAGEIFS(tbDrills[ציון],tbDrills[מאבטח],tbEmploDetails[[#This Row],[שם מלא]]),"")</f>
        <v/>
      </c>
      <c r="AJ45" s="4">
        <f ca="1">COUNTIFS(tbDrills[תאריך],"&gt;"&amp;yearAgoCell,tbDrills[מאבטח],tbEmploDetails[[#This Row],[שם מלא]])</f>
        <v>0</v>
      </c>
      <c r="AK45" s="4" t="str">
        <f ca="1">IFERROR(AVERAGEIFS(tbDrills[ציון],tbDrills[מאבטח],tbEmploDetails[[#This Row],[שם מלא]],tbDrills[תאריך],"&gt;="&amp;yearAgoCell),"")</f>
        <v/>
      </c>
      <c r="AL45" t="s">
        <v>677</v>
      </c>
      <c r="AM45" s="370">
        <v>15</v>
      </c>
      <c r="AN45" s="4"/>
      <c r="AO45" s="4"/>
      <c r="AP45" s="4">
        <f>ROW()</f>
        <v>45</v>
      </c>
      <c r="AQ45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ז'בוטינסקי 15 , רמת גן</v>
      </c>
    </row>
    <row r="46" spans="1:43">
      <c r="A46" s="371" t="s">
        <v>437</v>
      </c>
      <c r="B46" s="371" t="s">
        <v>376</v>
      </c>
      <c r="C46" s="4" t="str">
        <f>TRIM(tbEmploDetails[[#This Row],[שם משפחה]])&amp;" "&amp;TRIM(tbEmploDetails[[#This Row],[שם פרטי]])</f>
        <v>לבני אורי</v>
      </c>
      <c r="D46" t="s">
        <v>503</v>
      </c>
      <c r="E46" t="s">
        <v>525</v>
      </c>
      <c r="F46" t="s">
        <v>605</v>
      </c>
      <c r="G46" t="str">
        <f>TRIM(tbEmploDetails[[#This Row],[כתובת - שם רחוב]]&amp;" "&amp;tbEmploDetails[[#This Row],[כתובת - מס'' רחוב]])</f>
        <v>שדרות הגעתון 9</v>
      </c>
      <c r="H46" t="s">
        <v>634</v>
      </c>
      <c r="I46" s="49" t="s">
        <v>36</v>
      </c>
      <c r="J46" s="6"/>
      <c r="L46" t="str">
        <f>TRIM(tbEmploDetails[[#This Row],[איש קשר - שם מלא]] &amp; " (" &amp; tbEmploDetails[[#This Row],[איש קשר - טיב קשר]] &amp; ")")</f>
        <v>()</v>
      </c>
      <c r="M46" s="43">
        <v>42307</v>
      </c>
      <c r="N46" s="4">
        <f ca="1">IF(tbEmploDetails[[#This Row],[תאריך תחילת תעסוקה נוכחית]],TODAY()-tbEmploDetails[[#This Row],[תאריך תחילת תעסוקה נוכחית]],"חסר מידע")</f>
        <v>3251</v>
      </c>
      <c r="O46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10 חודשים</v>
      </c>
      <c r="P46" s="49" t="s">
        <v>120</v>
      </c>
      <c r="Q46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46" s="48">
        <f>MAX(_xlfn.MAXIFS(tbShetchExam[מס'' פעם], tbShetchExam[נבחן],tbEmploDetails[[#This Row],[שם מלא]]))</f>
        <v>0</v>
      </c>
      <c r="S46" t="s">
        <v>40</v>
      </c>
      <c r="T46" t="s">
        <v>42</v>
      </c>
      <c r="U46" t="s">
        <v>93</v>
      </c>
      <c r="V46" s="2">
        <v>45298</v>
      </c>
      <c r="W46" s="4">
        <f ca="1">IF(tbEmploDetails[[#This Row],[תאריך הצ'' בריאות נוכחית]],EDATE(tbEmploDetails[[#This Row],[תאריך הצ'' בריאות נוכחית]],12)-TODAY(),"")</f>
        <v>106</v>
      </c>
      <c r="X46" s="4">
        <f>COUNTIFS(tbLate[איחור בדק''/חור],"&lt;&gt;חור",tbLate[שם המאחר],tbEmploDetails[[#This Row],[שם מלא]])</f>
        <v>0</v>
      </c>
      <c r="Y46" s="4">
        <f>COUNTIFS(tbLate[איחור בדק''/חור],"חור",tbLate[שם המאחר],tbEmploDetails[[#This Row],[שם מלא]])</f>
        <v>0</v>
      </c>
      <c r="Z46" s="133" t="str">
        <f>IFERROR(AVERAGEIFS(tbLate[איחור בדק''/חור],tbLate[שם המאחר],tbEmploDetails[[#This Row],[שם מלא]]),"")</f>
        <v/>
      </c>
      <c r="AA46" s="4">
        <f ca="1">COUNTIFS(tbLate[שם המאחר],tbEmploDetails[[#This Row],[שם מלא]],tbLate[תאריך],"&gt;"&amp;months2AgoCell,tbLate[מס''דק''איחור],"&gt;0")</f>
        <v>0</v>
      </c>
      <c r="AB46" s="4">
        <f ca="1">COUNTIFS(tbLate[שם המאחר],tbEmploDetails[[#This Row],[שם מלא]],tbLate[תאריך],"&gt;"&amp;months2AgoCell,tbLate[האם חור],"&gt;0")</f>
        <v>0</v>
      </c>
      <c r="AC46" s="4">
        <f>COUNTIFS(tbPerfReview[מאבטח],tbEmploDetails[[#This Row],[שם מלא]])</f>
        <v>0</v>
      </c>
      <c r="AD46" s="133" t="str">
        <f>IFERROR(AVERAGEIFS(tbPerfReview[ציון],tbPerfReview[מאבטח],tbEmploDetails[[#This Row],[שם מלא]]),"")</f>
        <v/>
      </c>
      <c r="AE46" s="4">
        <f ca="1">COUNTIFS(tbPerfReview[תאריך],"&gt;"&amp;yearAgoCell,tbPerfReview[מאבטח],tbEmploDetails[[#This Row],[שם מלא]])</f>
        <v>0</v>
      </c>
      <c r="AF46" s="133" t="str">
        <f ca="1">IFERROR(AVERAGEIFS(tbPerfReview[ציון],tbPerfReview[מאבטח],tbEmploDetails[[#This Row],[שם מלא]],tbPerfReview[תאריך],"&gt;="&amp;yearAgoCell),"")</f>
        <v/>
      </c>
      <c r="AG46" s="4"/>
      <c r="AH46" s="4">
        <f>COUNTIFS(tbDrills[מאבטח],tbEmploDetails[[#This Row],[שם מלא]])</f>
        <v>0</v>
      </c>
      <c r="AI46" s="4" t="str">
        <f>IFERROR(AVERAGEIFS(tbDrills[ציון],tbDrills[מאבטח],tbEmploDetails[[#This Row],[שם מלא]]),"")</f>
        <v/>
      </c>
      <c r="AJ46" s="4">
        <f ca="1">COUNTIFS(tbDrills[תאריך],"&gt;"&amp;yearAgoCell,tbDrills[מאבטח],tbEmploDetails[[#This Row],[שם מלא]])</f>
        <v>0</v>
      </c>
      <c r="AK46" s="4" t="str">
        <f ca="1">IFERROR(AVERAGEIFS(tbDrills[ציון],tbDrills[מאבטח],tbEmploDetails[[#This Row],[שם מלא]],tbDrills[תאריך],"&gt;="&amp;yearAgoCell),"")</f>
        <v/>
      </c>
      <c r="AL46" t="s">
        <v>678</v>
      </c>
      <c r="AM46" s="370">
        <v>9</v>
      </c>
      <c r="AN46" s="4"/>
      <c r="AO46" s="4"/>
      <c r="AP46" s="4">
        <f>ROW()</f>
        <v>46</v>
      </c>
      <c r="AQ46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שדרות הגעתון 9 , כפר סבא</v>
      </c>
    </row>
    <row r="47" spans="1:43">
      <c r="A47" s="371" t="s">
        <v>414</v>
      </c>
      <c r="B47" s="371" t="s">
        <v>392</v>
      </c>
      <c r="C47" s="4" t="str">
        <f>TRIM(tbEmploDetails[[#This Row],[שם משפחה]])&amp;" "&amp;TRIM(tbEmploDetails[[#This Row],[שם פרטי]])</f>
        <v>לרנר אלעד</v>
      </c>
      <c r="D47" t="s">
        <v>504</v>
      </c>
      <c r="E47" t="s">
        <v>549</v>
      </c>
      <c r="F47" t="s">
        <v>606</v>
      </c>
      <c r="G47" t="str">
        <f>TRIM(tbEmploDetails[[#This Row],[כתובת - שם רחוב]]&amp;" "&amp;tbEmploDetails[[#This Row],[כתובת - מס'' רחוב]])</f>
        <v>העלייה 24</v>
      </c>
      <c r="H47" t="s">
        <v>630</v>
      </c>
      <c r="I47" s="49" t="s">
        <v>35</v>
      </c>
      <c r="J47" s="6"/>
      <c r="L47" t="str">
        <f>TRIM(tbEmploDetails[[#This Row],[איש קשר - שם מלא]] &amp; " (" &amp; tbEmploDetails[[#This Row],[איש קשר - טיב קשר]] &amp; ")")</f>
        <v>()</v>
      </c>
      <c r="M47" s="43">
        <v>42388</v>
      </c>
      <c r="N47" s="4">
        <f ca="1">IF(tbEmploDetails[[#This Row],[תאריך תחילת תעסוקה נוכחית]],TODAY()-tbEmploDetails[[#This Row],[תאריך תחילת תעסוקה נוכחית]],"חסר מידע")</f>
        <v>3170</v>
      </c>
      <c r="O47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8 חודשים</v>
      </c>
      <c r="P47" s="49" t="s">
        <v>120</v>
      </c>
      <c r="Q47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47" s="48">
        <f>MAX(_xlfn.MAXIFS(tbShetchExam[מס'' פעם], tbShetchExam[נבחן],tbEmploDetails[[#This Row],[שם מלא]]))</f>
        <v>0</v>
      </c>
      <c r="S47" t="s">
        <v>40</v>
      </c>
      <c r="T47" t="s">
        <v>42</v>
      </c>
      <c r="U47" t="s">
        <v>97</v>
      </c>
      <c r="V47" s="2">
        <v>45344</v>
      </c>
      <c r="W47" s="4">
        <f ca="1">IF(tbEmploDetails[[#This Row],[תאריך הצ'' בריאות נוכחית]],EDATE(tbEmploDetails[[#This Row],[תאריך הצ'' בריאות נוכחית]],12)-TODAY(),"")</f>
        <v>152</v>
      </c>
      <c r="X47" s="4">
        <f>COUNTIFS(tbLate[איחור בדק''/חור],"&lt;&gt;חור",tbLate[שם המאחר],tbEmploDetails[[#This Row],[שם מלא]])</f>
        <v>0</v>
      </c>
      <c r="Y47" s="4">
        <f>COUNTIFS(tbLate[איחור בדק''/חור],"חור",tbLate[שם המאחר],tbEmploDetails[[#This Row],[שם מלא]])</f>
        <v>0</v>
      </c>
      <c r="Z47" s="133" t="str">
        <f>IFERROR(AVERAGEIFS(tbLate[איחור בדק''/חור],tbLate[שם המאחר],tbEmploDetails[[#This Row],[שם מלא]]),"")</f>
        <v/>
      </c>
      <c r="AA47" s="4">
        <f ca="1">COUNTIFS(tbLate[שם המאחר],tbEmploDetails[[#This Row],[שם מלא]],tbLate[תאריך],"&gt;"&amp;months2AgoCell,tbLate[מס''דק''איחור],"&gt;0")</f>
        <v>0</v>
      </c>
      <c r="AB47" s="4">
        <f ca="1">COUNTIFS(tbLate[שם המאחר],tbEmploDetails[[#This Row],[שם מלא]],tbLate[תאריך],"&gt;"&amp;months2AgoCell,tbLate[האם חור],"&gt;0")</f>
        <v>0</v>
      </c>
      <c r="AC47" s="4">
        <f>COUNTIFS(tbPerfReview[מאבטח],tbEmploDetails[[#This Row],[שם מלא]])</f>
        <v>0</v>
      </c>
      <c r="AD47" s="133" t="str">
        <f>IFERROR(AVERAGEIFS(tbPerfReview[ציון],tbPerfReview[מאבטח],tbEmploDetails[[#This Row],[שם מלא]]),"")</f>
        <v/>
      </c>
      <c r="AE47" s="4">
        <f ca="1">COUNTIFS(tbPerfReview[תאריך],"&gt;"&amp;yearAgoCell,tbPerfReview[מאבטח],tbEmploDetails[[#This Row],[שם מלא]])</f>
        <v>0</v>
      </c>
      <c r="AF47" s="133" t="str">
        <f ca="1">IFERROR(AVERAGEIFS(tbPerfReview[ציון],tbPerfReview[מאבטח],tbEmploDetails[[#This Row],[שם מלא]],tbPerfReview[תאריך],"&gt;="&amp;yearAgoCell),"")</f>
        <v/>
      </c>
      <c r="AG47" s="4"/>
      <c r="AH47" s="4">
        <f>COUNTIFS(tbDrills[מאבטח],tbEmploDetails[[#This Row],[שם מלא]])</f>
        <v>0</v>
      </c>
      <c r="AI47" s="4" t="str">
        <f>IFERROR(AVERAGEIFS(tbDrills[ציון],tbDrills[מאבטח],tbEmploDetails[[#This Row],[שם מלא]]),"")</f>
        <v/>
      </c>
      <c r="AJ47" s="4">
        <f ca="1">COUNTIFS(tbDrills[תאריך],"&gt;"&amp;yearAgoCell,tbDrills[מאבטח],tbEmploDetails[[#This Row],[שם מלא]])</f>
        <v>0</v>
      </c>
      <c r="AK47" s="4" t="str">
        <f ca="1">IFERROR(AVERAGEIFS(tbDrills[ציון],tbDrills[מאבטח],tbEmploDetails[[#This Row],[שם מלא]],tbDrills[תאריך],"&gt;="&amp;yearAgoCell),"")</f>
        <v/>
      </c>
      <c r="AL47" t="s">
        <v>679</v>
      </c>
      <c r="AM47" s="370">
        <v>24</v>
      </c>
      <c r="AN47" s="4"/>
      <c r="AO47" s="4"/>
      <c r="AP47" s="4">
        <f>ROW()</f>
        <v>47</v>
      </c>
      <c r="AQ47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העלייה 24 , תל אביב</v>
      </c>
    </row>
    <row r="48" spans="1:43">
      <c r="A48" s="371" t="s">
        <v>438</v>
      </c>
      <c r="B48" s="371" t="s">
        <v>114</v>
      </c>
      <c r="C48" s="4" t="str">
        <f>TRIM(tbEmploDetails[[#This Row],[שם משפחה]])&amp;" "&amp;TRIM(tbEmploDetails[[#This Row],[שם פרטי]])</f>
        <v>ברונר ניב</v>
      </c>
      <c r="D48" t="s">
        <v>505</v>
      </c>
      <c r="E48" t="s">
        <v>536</v>
      </c>
      <c r="F48" t="s">
        <v>607</v>
      </c>
      <c r="G48" t="str">
        <f>TRIM(tbEmploDetails[[#This Row],[כתובת - שם רחוב]]&amp;" "&amp;tbEmploDetails[[#This Row],[כתובת - מס'' רחוב]])</f>
        <v>העצמאות 70</v>
      </c>
      <c r="H48" t="s">
        <v>635</v>
      </c>
      <c r="I48" s="49" t="s">
        <v>35</v>
      </c>
      <c r="J48" s="6"/>
      <c r="L48" t="str">
        <f>TRIM(tbEmploDetails[[#This Row],[איש קשר - שם מלא]] &amp; " (" &amp; tbEmploDetails[[#This Row],[איש קשר - טיב קשר]] &amp; ")")</f>
        <v>()</v>
      </c>
      <c r="M48" s="43">
        <v>43711</v>
      </c>
      <c r="N48" s="4">
        <f ca="1">IF(tbEmploDetails[[#This Row],[תאריך תחילת תעסוקה נוכחית]],TODAY()-tbEmploDetails[[#This Row],[תאריך תחילת תעסוקה נוכחית]],"חסר מידע")</f>
        <v>1847</v>
      </c>
      <c r="O48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5 שנים, 15 ימים</v>
      </c>
      <c r="P48" s="49" t="s">
        <v>120</v>
      </c>
      <c r="Q48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48" s="48">
        <f>MAX(_xlfn.MAXIFS(tbShetchExam[מס'' פעם], tbShetchExam[נבחן],tbEmploDetails[[#This Row],[שם מלא]]))</f>
        <v>0</v>
      </c>
      <c r="S48" t="s">
        <v>40</v>
      </c>
      <c r="T48" t="s">
        <v>42</v>
      </c>
      <c r="U48" t="s">
        <v>93</v>
      </c>
      <c r="V48" s="2">
        <v>45364</v>
      </c>
      <c r="W48" s="4">
        <f ca="1">IF(tbEmploDetails[[#This Row],[תאריך הצ'' בריאות נוכחית]],EDATE(tbEmploDetails[[#This Row],[תאריך הצ'' בריאות נוכחית]],12)-TODAY(),"")</f>
        <v>171</v>
      </c>
      <c r="X48" s="4">
        <f>COUNTIFS(tbLate[איחור בדק''/חור],"&lt;&gt;חור",tbLate[שם המאחר],tbEmploDetails[[#This Row],[שם מלא]])</f>
        <v>0</v>
      </c>
      <c r="Y48" s="4">
        <f>COUNTIFS(tbLate[איחור בדק''/חור],"חור",tbLate[שם המאחר],tbEmploDetails[[#This Row],[שם מלא]])</f>
        <v>0</v>
      </c>
      <c r="Z48" s="133" t="str">
        <f>IFERROR(AVERAGEIFS(tbLate[איחור בדק''/חור],tbLate[שם המאחר],tbEmploDetails[[#This Row],[שם מלא]]),"")</f>
        <v/>
      </c>
      <c r="AA48" s="4">
        <f ca="1">COUNTIFS(tbLate[שם המאחר],tbEmploDetails[[#This Row],[שם מלא]],tbLate[תאריך],"&gt;"&amp;months2AgoCell,tbLate[מס''דק''איחור],"&gt;0")</f>
        <v>0</v>
      </c>
      <c r="AB48" s="4">
        <f ca="1">COUNTIFS(tbLate[שם המאחר],tbEmploDetails[[#This Row],[שם מלא]],tbLate[תאריך],"&gt;"&amp;months2AgoCell,tbLate[האם חור],"&gt;0")</f>
        <v>0</v>
      </c>
      <c r="AC48" s="4">
        <f>COUNTIFS(tbPerfReview[מאבטח],tbEmploDetails[[#This Row],[שם מלא]])</f>
        <v>0</v>
      </c>
      <c r="AD48" s="133" t="str">
        <f>IFERROR(AVERAGEIFS(tbPerfReview[ציון],tbPerfReview[מאבטח],tbEmploDetails[[#This Row],[שם מלא]]),"")</f>
        <v/>
      </c>
      <c r="AE48" s="4">
        <f ca="1">COUNTIFS(tbPerfReview[תאריך],"&gt;"&amp;yearAgoCell,tbPerfReview[מאבטח],tbEmploDetails[[#This Row],[שם מלא]])</f>
        <v>0</v>
      </c>
      <c r="AF48" s="133" t="str">
        <f ca="1">IFERROR(AVERAGEIFS(tbPerfReview[ציון],tbPerfReview[מאבטח],tbEmploDetails[[#This Row],[שם מלא]],tbPerfReview[תאריך],"&gt;="&amp;yearAgoCell),"")</f>
        <v/>
      </c>
      <c r="AG48" s="4"/>
      <c r="AH48" s="4">
        <f>COUNTIFS(tbDrills[מאבטח],tbEmploDetails[[#This Row],[שם מלא]])</f>
        <v>0</v>
      </c>
      <c r="AI48" s="4" t="str">
        <f>IFERROR(AVERAGEIFS(tbDrills[ציון],tbDrills[מאבטח],tbEmploDetails[[#This Row],[שם מלא]]),"")</f>
        <v/>
      </c>
      <c r="AJ48" s="4">
        <f ca="1">COUNTIFS(tbDrills[תאריך],"&gt;"&amp;yearAgoCell,tbDrills[מאבטח],tbEmploDetails[[#This Row],[שם מלא]])</f>
        <v>0</v>
      </c>
      <c r="AK48" s="4" t="str">
        <f ca="1">IFERROR(AVERAGEIFS(tbDrills[ציון],tbDrills[מאבטח],tbEmploDetails[[#This Row],[שם מלא]],tbDrills[תאריך],"&gt;="&amp;yearAgoCell),"")</f>
        <v/>
      </c>
      <c r="AL48" t="s">
        <v>665</v>
      </c>
      <c r="AM48" s="370">
        <v>70</v>
      </c>
      <c r="AN48" s="4"/>
      <c r="AO48" s="4"/>
      <c r="AP48" s="4">
        <f>ROW()</f>
        <v>48</v>
      </c>
      <c r="AQ48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העצמאות 70 , באר שבע</v>
      </c>
    </row>
    <row r="49" spans="1:43">
      <c r="A49" s="371" t="s">
        <v>106</v>
      </c>
      <c r="B49" s="371" t="s">
        <v>110</v>
      </c>
      <c r="C49" s="4" t="str">
        <f>TRIM(tbEmploDetails[[#This Row],[שם משפחה]])&amp;" "&amp;TRIM(tbEmploDetails[[#This Row],[שם פרטי]])</f>
        <v>אילן נועה</v>
      </c>
      <c r="D49" t="s">
        <v>506</v>
      </c>
      <c r="E49" t="s">
        <v>537</v>
      </c>
      <c r="F49" t="s">
        <v>608</v>
      </c>
      <c r="G49" t="str">
        <f>TRIM(tbEmploDetails[[#This Row],[כתובת - שם רחוב]]&amp;" "&amp;tbEmploDetails[[#This Row],[כתובת - מס'' רחוב]])</f>
        <v>הרצל 32</v>
      </c>
      <c r="H49" t="s">
        <v>636</v>
      </c>
      <c r="I49" s="49" t="s">
        <v>36</v>
      </c>
      <c r="J49" s="6"/>
      <c r="L49" t="str">
        <f>TRIM(tbEmploDetails[[#This Row],[איש קשר - שם מלא]] &amp; " (" &amp; tbEmploDetails[[#This Row],[איש קשר - טיב קשר]] &amp; ")")</f>
        <v>()</v>
      </c>
      <c r="M49" s="43">
        <v>41754</v>
      </c>
      <c r="N49" s="4">
        <f ca="1">IF(tbEmploDetails[[#This Row],[תאריך תחילת תעסוקה נוכחית]],TODAY()-tbEmploDetails[[#This Row],[תאריך תחילת תעסוקה נוכחית]],"חסר מידע")</f>
        <v>3804</v>
      </c>
      <c r="O49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10 שנים, 4 חודשים</v>
      </c>
      <c r="P49" s="49" t="s">
        <v>120</v>
      </c>
      <c r="Q49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49" s="48">
        <f>MAX(_xlfn.MAXIFS(tbShetchExam[מס'' פעם], tbShetchExam[נבחן],tbEmploDetails[[#This Row],[שם מלא]]))</f>
        <v>0</v>
      </c>
      <c r="S49" t="s">
        <v>41</v>
      </c>
      <c r="T49" t="s">
        <v>43</v>
      </c>
      <c r="U49" t="s">
        <v>93</v>
      </c>
      <c r="V49" s="2">
        <v>45411</v>
      </c>
      <c r="W49" s="4">
        <f ca="1">IF(tbEmploDetails[[#This Row],[תאריך הצ'' בריאות נוכחית]],EDATE(tbEmploDetails[[#This Row],[תאריך הצ'' בריאות נוכחית]],12)-TODAY(),"")</f>
        <v>218</v>
      </c>
      <c r="X49" s="4">
        <f>COUNTIFS(tbLate[איחור בדק''/חור],"&lt;&gt;חור",tbLate[שם המאחר],tbEmploDetails[[#This Row],[שם מלא]])</f>
        <v>0</v>
      </c>
      <c r="Y49" s="4">
        <f>COUNTIFS(tbLate[איחור בדק''/חור],"חור",tbLate[שם המאחר],tbEmploDetails[[#This Row],[שם מלא]])</f>
        <v>0</v>
      </c>
      <c r="Z49" s="133" t="str">
        <f>IFERROR(AVERAGEIFS(tbLate[איחור בדק''/חור],tbLate[שם המאחר],tbEmploDetails[[#This Row],[שם מלא]]),"")</f>
        <v/>
      </c>
      <c r="AA49" s="4">
        <f ca="1">COUNTIFS(tbLate[שם המאחר],tbEmploDetails[[#This Row],[שם מלא]],tbLate[תאריך],"&gt;"&amp;months2AgoCell,tbLate[מס''דק''איחור],"&gt;0")</f>
        <v>0</v>
      </c>
      <c r="AB49" s="4">
        <f ca="1">COUNTIFS(tbLate[שם המאחר],tbEmploDetails[[#This Row],[שם מלא]],tbLate[תאריך],"&gt;"&amp;months2AgoCell,tbLate[האם חור],"&gt;0")</f>
        <v>0</v>
      </c>
      <c r="AC49" s="4">
        <f>COUNTIFS(tbPerfReview[מאבטח],tbEmploDetails[[#This Row],[שם מלא]])</f>
        <v>0</v>
      </c>
      <c r="AD49" s="133" t="str">
        <f>IFERROR(AVERAGEIFS(tbPerfReview[ציון],tbPerfReview[מאבטח],tbEmploDetails[[#This Row],[שם מלא]]),"")</f>
        <v/>
      </c>
      <c r="AE49" s="4">
        <f ca="1">COUNTIFS(tbPerfReview[תאריך],"&gt;"&amp;yearAgoCell,tbPerfReview[מאבטח],tbEmploDetails[[#This Row],[שם מלא]])</f>
        <v>0</v>
      </c>
      <c r="AF49" s="133" t="str">
        <f ca="1">IFERROR(AVERAGEIFS(tbPerfReview[ציון],tbPerfReview[מאבטח],tbEmploDetails[[#This Row],[שם מלא]],tbPerfReview[תאריך],"&gt;="&amp;yearAgoCell),"")</f>
        <v/>
      </c>
      <c r="AG49" s="4"/>
      <c r="AH49" s="4">
        <f>COUNTIFS(tbDrills[מאבטח],tbEmploDetails[[#This Row],[שם מלא]])</f>
        <v>0</v>
      </c>
      <c r="AI49" s="4" t="str">
        <f>IFERROR(AVERAGEIFS(tbDrills[ציון],tbDrills[מאבטח],tbEmploDetails[[#This Row],[שם מלא]]),"")</f>
        <v/>
      </c>
      <c r="AJ49" s="4">
        <f ca="1">COUNTIFS(tbDrills[תאריך],"&gt;"&amp;yearAgoCell,tbDrills[מאבטח],tbEmploDetails[[#This Row],[שם מלא]])</f>
        <v>0</v>
      </c>
      <c r="AK49" s="4" t="str">
        <f ca="1">IFERROR(AVERAGEIFS(tbDrills[ציון],tbDrills[מאבטח],tbEmploDetails[[#This Row],[שם מלא]],tbDrills[תאריך],"&gt;="&amp;yearAgoCell),"")</f>
        <v/>
      </c>
      <c r="AL49" t="s">
        <v>680</v>
      </c>
      <c r="AM49" s="370">
        <v>32</v>
      </c>
      <c r="AN49" s="4"/>
      <c r="AO49" s="4"/>
      <c r="AP49" s="4">
        <f>ROW()</f>
        <v>49</v>
      </c>
      <c r="AQ49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הרצל 32 , ראשון לציון</v>
      </c>
    </row>
    <row r="50" spans="1:43">
      <c r="A50" s="371" t="s">
        <v>439</v>
      </c>
      <c r="B50" s="371" t="s">
        <v>440</v>
      </c>
      <c r="C50" s="4" t="str">
        <f>TRIM(tbEmploDetails[[#This Row],[שם משפחה]])&amp;" "&amp;TRIM(tbEmploDetails[[#This Row],[שם פרטי]])</f>
        <v>שמיר אביגיל</v>
      </c>
      <c r="D50" t="s">
        <v>507</v>
      </c>
      <c r="E50" t="s">
        <v>535</v>
      </c>
      <c r="F50" t="s">
        <v>609</v>
      </c>
      <c r="G50" t="str">
        <f>TRIM(tbEmploDetails[[#This Row],[כתובת - שם רחוב]]&amp;" "&amp;tbEmploDetails[[#This Row],[כתובת - מס'' רחוב]])</f>
        <v>הנשיא 88</v>
      </c>
      <c r="H50" t="s">
        <v>637</v>
      </c>
      <c r="I50" s="49" t="s">
        <v>35</v>
      </c>
      <c r="J50" s="6"/>
      <c r="L50" t="str">
        <f>TRIM(tbEmploDetails[[#This Row],[איש קשר - שם מלא]] &amp; " (" &amp; tbEmploDetails[[#This Row],[איש קשר - טיב קשר]] &amp; ")")</f>
        <v>()</v>
      </c>
      <c r="M50" s="43">
        <v>44901</v>
      </c>
      <c r="N50" s="4">
        <f ca="1">IF(tbEmploDetails[[#This Row],[תאריך תחילת תעסוקה נוכחית]],TODAY()-tbEmploDetails[[#This Row],[תאריך תחילת תעסוקה נוכחית]],"חסר מידע")</f>
        <v>657</v>
      </c>
      <c r="O50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 שנים, 9 חודשים</v>
      </c>
      <c r="P50" s="49" t="s">
        <v>120</v>
      </c>
      <c r="Q50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50" s="48">
        <f>MAX(_xlfn.MAXIFS(tbShetchExam[מס'' פעם], tbShetchExam[נבחן],tbEmploDetails[[#This Row],[שם מלא]]))</f>
        <v>0</v>
      </c>
      <c r="S50" t="s">
        <v>40</v>
      </c>
      <c r="T50" t="s">
        <v>42</v>
      </c>
      <c r="U50" t="s">
        <v>93</v>
      </c>
      <c r="V50" s="2">
        <v>45422</v>
      </c>
      <c r="W50" s="4">
        <f ca="1">IF(tbEmploDetails[[#This Row],[תאריך הצ'' בריאות נוכחית]],EDATE(tbEmploDetails[[#This Row],[תאריך הצ'' בריאות נוכחית]],12)-TODAY(),"")</f>
        <v>229</v>
      </c>
      <c r="X50" s="4">
        <f>COUNTIFS(tbLate[איחור בדק''/חור],"&lt;&gt;חור",tbLate[שם המאחר],tbEmploDetails[[#This Row],[שם מלא]])</f>
        <v>0</v>
      </c>
      <c r="Y50" s="4">
        <f>COUNTIFS(tbLate[איחור בדק''/חור],"חור",tbLate[שם המאחר],tbEmploDetails[[#This Row],[שם מלא]])</f>
        <v>0</v>
      </c>
      <c r="Z50" s="133" t="str">
        <f>IFERROR(AVERAGEIFS(tbLate[איחור בדק''/חור],tbLate[שם המאחר],tbEmploDetails[[#This Row],[שם מלא]]),"")</f>
        <v/>
      </c>
      <c r="AA50" s="4">
        <f ca="1">COUNTIFS(tbLate[שם המאחר],tbEmploDetails[[#This Row],[שם מלא]],tbLate[תאריך],"&gt;"&amp;months2AgoCell,tbLate[מס''דק''איחור],"&gt;0")</f>
        <v>0</v>
      </c>
      <c r="AB50" s="4">
        <f ca="1">COUNTIFS(tbLate[שם המאחר],tbEmploDetails[[#This Row],[שם מלא]],tbLate[תאריך],"&gt;"&amp;months2AgoCell,tbLate[האם חור],"&gt;0")</f>
        <v>0</v>
      </c>
      <c r="AC50" s="4">
        <f>COUNTIFS(tbPerfReview[מאבטח],tbEmploDetails[[#This Row],[שם מלא]])</f>
        <v>0</v>
      </c>
      <c r="AD50" s="133" t="str">
        <f>IFERROR(AVERAGEIFS(tbPerfReview[ציון],tbPerfReview[מאבטח],tbEmploDetails[[#This Row],[שם מלא]]),"")</f>
        <v/>
      </c>
      <c r="AE50" s="4">
        <f ca="1">COUNTIFS(tbPerfReview[תאריך],"&gt;"&amp;yearAgoCell,tbPerfReview[מאבטח],tbEmploDetails[[#This Row],[שם מלא]])</f>
        <v>0</v>
      </c>
      <c r="AF50" s="133" t="str">
        <f ca="1">IFERROR(AVERAGEIFS(tbPerfReview[ציון],tbPerfReview[מאבטח],tbEmploDetails[[#This Row],[שם מלא]],tbPerfReview[תאריך],"&gt;="&amp;yearAgoCell),"")</f>
        <v/>
      </c>
      <c r="AG50" s="4"/>
      <c r="AH50" s="4">
        <f>COUNTIFS(tbDrills[מאבטח],tbEmploDetails[[#This Row],[שם מלא]])</f>
        <v>0</v>
      </c>
      <c r="AI50" s="4" t="str">
        <f>IFERROR(AVERAGEIFS(tbDrills[ציון],tbDrills[מאבטח],tbEmploDetails[[#This Row],[שם מלא]]),"")</f>
        <v/>
      </c>
      <c r="AJ50" s="4">
        <f ca="1">COUNTIFS(tbDrills[תאריך],"&gt;"&amp;yearAgoCell,tbDrills[מאבטח],tbEmploDetails[[#This Row],[שם מלא]])</f>
        <v>0</v>
      </c>
      <c r="AK50" s="4" t="str">
        <f ca="1">IFERROR(AVERAGEIFS(tbDrills[ציון],tbDrills[מאבטח],tbEmploDetails[[#This Row],[שם מלא]],tbDrills[תאריך],"&gt;="&amp;yearAgoCell),"")</f>
        <v/>
      </c>
      <c r="AL50" t="s">
        <v>658</v>
      </c>
      <c r="AM50" s="370">
        <v>88</v>
      </c>
      <c r="AN50" s="4"/>
      <c r="AO50" s="4"/>
      <c r="AP50" s="4">
        <f>ROW()</f>
        <v>50</v>
      </c>
      <c r="AQ50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הנשיא 88 , פתח תקווה</v>
      </c>
    </row>
    <row r="51" spans="1:43">
      <c r="A51" s="371" t="s">
        <v>413</v>
      </c>
      <c r="B51" s="371" t="s">
        <v>356</v>
      </c>
      <c r="C51" s="4" t="str">
        <f>TRIM(tbEmploDetails[[#This Row],[שם משפחה]])&amp;" "&amp;TRIM(tbEmploDetails[[#This Row],[שם פרטי]])</f>
        <v>גל יובל</v>
      </c>
      <c r="D51" t="s">
        <v>508</v>
      </c>
      <c r="E51" t="s">
        <v>550</v>
      </c>
      <c r="F51" t="s">
        <v>610</v>
      </c>
      <c r="G51" t="str">
        <f>TRIM(tbEmploDetails[[#This Row],[כתובת - שם רחוב]]&amp;" "&amp;tbEmploDetails[[#This Row],[כתובת - מס'' רחוב]])</f>
        <v>הגפן 7</v>
      </c>
      <c r="H51" t="s">
        <v>638</v>
      </c>
      <c r="I51" s="49" t="s">
        <v>35</v>
      </c>
      <c r="J51" s="6"/>
      <c r="L51" t="str">
        <f>TRIM(tbEmploDetails[[#This Row],[איש קשר - שם מלא]] &amp; " (" &amp; tbEmploDetails[[#This Row],[איש קשר - טיב קשר]] &amp; ")")</f>
        <v>()</v>
      </c>
      <c r="M51" s="43">
        <v>42611</v>
      </c>
      <c r="N51" s="4">
        <f ca="1">IF(tbEmploDetails[[#This Row],[תאריך תחילת תעסוקה נוכחית]],TODAY()-tbEmploDetails[[#This Row],[תאריך תחילת תעסוקה נוכחית]],"חסר מידע")</f>
        <v>2947</v>
      </c>
      <c r="O51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4 ימים</v>
      </c>
      <c r="P51" s="49" t="s">
        <v>120</v>
      </c>
      <c r="Q51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51" s="48">
        <f>MAX(_xlfn.MAXIFS(tbShetchExam[מס'' פעם], tbShetchExam[נבחן],tbEmploDetails[[#This Row],[שם מלא]]))</f>
        <v>0</v>
      </c>
      <c r="S51" t="s">
        <v>40</v>
      </c>
      <c r="T51" t="s">
        <v>42</v>
      </c>
      <c r="U51" t="s">
        <v>93</v>
      </c>
      <c r="V51" s="2">
        <v>45461</v>
      </c>
      <c r="W51" s="4">
        <f ca="1">IF(tbEmploDetails[[#This Row],[תאריך הצ'' בריאות נוכחית]],EDATE(tbEmploDetails[[#This Row],[תאריך הצ'' בריאות נוכחית]],12)-TODAY(),"")</f>
        <v>268</v>
      </c>
      <c r="X51" s="4">
        <f>COUNTIFS(tbLate[איחור בדק''/חור],"&lt;&gt;חור",tbLate[שם המאחר],tbEmploDetails[[#This Row],[שם מלא]])</f>
        <v>0</v>
      </c>
      <c r="Y51" s="4">
        <f>COUNTIFS(tbLate[איחור בדק''/חור],"חור",tbLate[שם המאחר],tbEmploDetails[[#This Row],[שם מלא]])</f>
        <v>0</v>
      </c>
      <c r="Z51" s="133" t="str">
        <f>IFERROR(AVERAGEIFS(tbLate[איחור בדק''/חור],tbLate[שם המאחר],tbEmploDetails[[#This Row],[שם מלא]]),"")</f>
        <v/>
      </c>
      <c r="AA51" s="4">
        <f ca="1">COUNTIFS(tbLate[שם המאחר],tbEmploDetails[[#This Row],[שם מלא]],tbLate[תאריך],"&gt;"&amp;months2AgoCell,tbLate[מס''דק''איחור],"&gt;0")</f>
        <v>0</v>
      </c>
      <c r="AB51" s="4">
        <f ca="1">COUNTIFS(tbLate[שם המאחר],tbEmploDetails[[#This Row],[שם מלא]],tbLate[תאריך],"&gt;"&amp;months2AgoCell,tbLate[האם חור],"&gt;0")</f>
        <v>0</v>
      </c>
      <c r="AC51" s="4">
        <f>COUNTIFS(tbPerfReview[מאבטח],tbEmploDetails[[#This Row],[שם מלא]])</f>
        <v>0</v>
      </c>
      <c r="AD51" s="133" t="str">
        <f>IFERROR(AVERAGEIFS(tbPerfReview[ציון],tbPerfReview[מאבטח],tbEmploDetails[[#This Row],[שם מלא]]),"")</f>
        <v/>
      </c>
      <c r="AE51" s="4">
        <f ca="1">COUNTIFS(tbPerfReview[תאריך],"&gt;"&amp;yearAgoCell,tbPerfReview[מאבטח],tbEmploDetails[[#This Row],[שם מלא]])</f>
        <v>0</v>
      </c>
      <c r="AF51" s="133" t="str">
        <f ca="1">IFERROR(AVERAGEIFS(tbPerfReview[ציון],tbPerfReview[מאבטח],tbEmploDetails[[#This Row],[שם מלא]],tbPerfReview[תאריך],"&gt;="&amp;yearAgoCell),"")</f>
        <v/>
      </c>
      <c r="AG51" s="4"/>
      <c r="AH51" s="4">
        <f>COUNTIFS(tbDrills[מאבטח],tbEmploDetails[[#This Row],[שם מלא]])</f>
        <v>0</v>
      </c>
      <c r="AI51" s="4" t="str">
        <f>IFERROR(AVERAGEIFS(tbDrills[ציון],tbDrills[מאבטח],tbEmploDetails[[#This Row],[שם מלא]]),"")</f>
        <v/>
      </c>
      <c r="AJ51" s="4">
        <f ca="1">COUNTIFS(tbDrills[תאריך],"&gt;"&amp;yearAgoCell,tbDrills[מאבטח],tbEmploDetails[[#This Row],[שם מלא]])</f>
        <v>0</v>
      </c>
      <c r="AK51" s="4" t="str">
        <f ca="1">IFERROR(AVERAGEIFS(tbDrills[ציון],tbDrills[מאבטח],tbEmploDetails[[#This Row],[שם מלא]],tbDrills[תאריך],"&gt;="&amp;yearAgoCell),"")</f>
        <v/>
      </c>
      <c r="AL51" t="s">
        <v>659</v>
      </c>
      <c r="AM51" s="370">
        <v>7</v>
      </c>
      <c r="AN51" s="4"/>
      <c r="AO51" s="4"/>
      <c r="AP51" s="4">
        <f>ROW()</f>
        <v>51</v>
      </c>
      <c r="AQ51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הגפן 7 , נתניה</v>
      </c>
    </row>
    <row r="52" spans="1:43">
      <c r="A52" s="371" t="s">
        <v>441</v>
      </c>
      <c r="B52" s="371" t="s">
        <v>400</v>
      </c>
      <c r="C52" s="4" t="str">
        <f>TRIM(tbEmploDetails[[#This Row],[שם משפחה]])&amp;" "&amp;TRIM(tbEmploDetails[[#This Row],[שם פרטי]])</f>
        <v>דיין טל</v>
      </c>
      <c r="D52" t="s">
        <v>509</v>
      </c>
      <c r="E52" t="s">
        <v>522</v>
      </c>
      <c r="F52" t="s">
        <v>611</v>
      </c>
      <c r="G52" t="str">
        <f>TRIM(tbEmploDetails[[#This Row],[כתובת - שם רחוב]]&amp;" "&amp;tbEmploDetails[[#This Row],[כתובת - מס'' רחוב]])</f>
        <v>אלנבי 60</v>
      </c>
      <c r="H52" t="s">
        <v>631</v>
      </c>
      <c r="I52" s="49" t="s">
        <v>35</v>
      </c>
      <c r="J52" s="6"/>
      <c r="L52" t="str">
        <f>TRIM(tbEmploDetails[[#This Row],[איש קשר - שם מלא]] &amp; " (" &amp; tbEmploDetails[[#This Row],[איש קשר - טיב קשר]] &amp; ")")</f>
        <v>()</v>
      </c>
      <c r="M52" s="43">
        <v>43232</v>
      </c>
      <c r="N52" s="4">
        <f ca="1">IF(tbEmploDetails[[#This Row],[תאריך תחילת תעסוקה נוכחית]],TODAY()-tbEmploDetails[[#This Row],[תאריך תחילת תעסוקה נוכחית]],"חסר מידע")</f>
        <v>2326</v>
      </c>
      <c r="O52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6 שנים, 4 חודשים</v>
      </c>
      <c r="P52" s="49" t="s">
        <v>120</v>
      </c>
      <c r="Q52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52" s="48">
        <f>MAX(_xlfn.MAXIFS(tbShetchExam[מס'' פעם], tbShetchExam[נבחן],tbEmploDetails[[#This Row],[שם מלא]]))</f>
        <v>0</v>
      </c>
      <c r="S52" t="s">
        <v>40</v>
      </c>
      <c r="T52" t="s">
        <v>42</v>
      </c>
      <c r="U52" t="s">
        <v>93</v>
      </c>
      <c r="V52" s="2">
        <v>45476</v>
      </c>
      <c r="W52" s="4">
        <f ca="1">IF(tbEmploDetails[[#This Row],[תאריך הצ'' בריאות נוכחית]],EDATE(tbEmploDetails[[#This Row],[תאריך הצ'' בריאות נוכחית]],12)-TODAY(),"")</f>
        <v>283</v>
      </c>
      <c r="X52" s="4">
        <f>COUNTIFS(tbLate[איחור בדק''/חור],"&lt;&gt;חור",tbLate[שם המאחר],tbEmploDetails[[#This Row],[שם מלא]])</f>
        <v>0</v>
      </c>
      <c r="Y52" s="4">
        <f>COUNTIFS(tbLate[איחור בדק''/חור],"חור",tbLate[שם המאחר],tbEmploDetails[[#This Row],[שם מלא]])</f>
        <v>0</v>
      </c>
      <c r="Z52" s="133" t="str">
        <f>IFERROR(AVERAGEIFS(tbLate[איחור בדק''/חור],tbLate[שם המאחר],tbEmploDetails[[#This Row],[שם מלא]]),"")</f>
        <v/>
      </c>
      <c r="AA52" s="4">
        <f ca="1">COUNTIFS(tbLate[שם המאחר],tbEmploDetails[[#This Row],[שם מלא]],tbLate[תאריך],"&gt;"&amp;months2AgoCell,tbLate[מס''דק''איחור],"&gt;0")</f>
        <v>0</v>
      </c>
      <c r="AB52" s="4">
        <f ca="1">COUNTIFS(tbLate[שם המאחר],tbEmploDetails[[#This Row],[שם מלא]],tbLate[תאריך],"&gt;"&amp;months2AgoCell,tbLate[האם חור],"&gt;0")</f>
        <v>0</v>
      </c>
      <c r="AC52" s="4">
        <f>COUNTIFS(tbPerfReview[מאבטח],tbEmploDetails[[#This Row],[שם מלא]])</f>
        <v>0</v>
      </c>
      <c r="AD52" s="133" t="str">
        <f>IFERROR(AVERAGEIFS(tbPerfReview[ציון],tbPerfReview[מאבטח],tbEmploDetails[[#This Row],[שם מלא]]),"")</f>
        <v/>
      </c>
      <c r="AE52" s="4">
        <f ca="1">COUNTIFS(tbPerfReview[תאריך],"&gt;"&amp;yearAgoCell,tbPerfReview[מאבטח],tbEmploDetails[[#This Row],[שם מלא]])</f>
        <v>0</v>
      </c>
      <c r="AF52" s="133" t="str">
        <f ca="1">IFERROR(AVERAGEIFS(tbPerfReview[ציון],tbPerfReview[מאבטח],tbEmploDetails[[#This Row],[שם מלא]],tbPerfReview[תאריך],"&gt;="&amp;yearAgoCell),"")</f>
        <v/>
      </c>
      <c r="AG52" s="4"/>
      <c r="AH52" s="4">
        <f>COUNTIFS(tbDrills[מאבטח],tbEmploDetails[[#This Row],[שם מלא]])</f>
        <v>0</v>
      </c>
      <c r="AI52" s="4" t="str">
        <f>IFERROR(AVERAGEIFS(tbDrills[ציון],tbDrills[מאבטח],tbEmploDetails[[#This Row],[שם מלא]]),"")</f>
        <v/>
      </c>
      <c r="AJ52" s="4">
        <f ca="1">COUNTIFS(tbDrills[תאריך],"&gt;"&amp;yearAgoCell,tbDrills[מאבטח],tbEmploDetails[[#This Row],[שם מלא]])</f>
        <v>0</v>
      </c>
      <c r="AK52" s="4" t="str">
        <f ca="1">IFERROR(AVERAGEIFS(tbDrills[ציון],tbDrills[מאבטח],tbEmploDetails[[#This Row],[שם מלא]],tbDrills[תאריך],"&gt;="&amp;yearAgoCell),"")</f>
        <v/>
      </c>
      <c r="AL52" t="s">
        <v>660</v>
      </c>
      <c r="AM52" s="370">
        <v>60</v>
      </c>
      <c r="AN52" s="4"/>
      <c r="AO52" s="4"/>
      <c r="AP52" s="4">
        <f>ROW()</f>
        <v>52</v>
      </c>
      <c r="AQ52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אלנבי 60 , חיפה</v>
      </c>
    </row>
    <row r="53" spans="1:43">
      <c r="A53" s="371" t="s">
        <v>442</v>
      </c>
      <c r="B53" s="371" t="s">
        <v>386</v>
      </c>
      <c r="C53" s="4" t="str">
        <f>TRIM(tbEmploDetails[[#This Row],[שם משפחה]])&amp;" "&amp;TRIM(tbEmploDetails[[#This Row],[שם פרטי]])</f>
        <v>חסון רונית</v>
      </c>
      <c r="D53" t="s">
        <v>510</v>
      </c>
      <c r="E53" t="s">
        <v>546</v>
      </c>
      <c r="F53" t="s">
        <v>612</v>
      </c>
      <c r="G53" t="str">
        <f>TRIM(tbEmploDetails[[#This Row],[כתובת - שם רחוב]]&amp;" "&amp;tbEmploDetails[[#This Row],[כתובת - מס'' רחוב]])</f>
        <v>אבן גבירול 25</v>
      </c>
      <c r="H53" t="s">
        <v>630</v>
      </c>
      <c r="I53" s="49" t="s">
        <v>36</v>
      </c>
      <c r="J53" s="6"/>
      <c r="L53" t="str">
        <f>TRIM(tbEmploDetails[[#This Row],[איש קשר - שם מלא]] &amp; " (" &amp; tbEmploDetails[[#This Row],[איש קשר - טיב קשר]] &amp; ")")</f>
        <v>()</v>
      </c>
      <c r="M53" s="43">
        <v>44158</v>
      </c>
      <c r="N53" s="4">
        <f ca="1">IF(tbEmploDetails[[#This Row],[תאריך תחילת תעסוקה נוכחית]],TODAY()-tbEmploDetails[[#This Row],[תאריך תחילת תעסוקה נוכחית]],"חסר מידע")</f>
        <v>1400</v>
      </c>
      <c r="O53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10 חודשים</v>
      </c>
      <c r="P53" s="49" t="s">
        <v>272</v>
      </c>
      <c r="Q53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53" s="48">
        <f>MAX(_xlfn.MAXIFS(tbShetchExam[מס'' פעם], tbShetchExam[נבחן],tbEmploDetails[[#This Row],[שם מלא]]))</f>
        <v>0</v>
      </c>
      <c r="S53" t="s">
        <v>41</v>
      </c>
      <c r="T53" t="s">
        <v>43</v>
      </c>
      <c r="U53" t="s">
        <v>93</v>
      </c>
      <c r="V53" s="2">
        <v>45529</v>
      </c>
      <c r="W53" s="4">
        <f ca="1">IF(tbEmploDetails[[#This Row],[תאריך הצ'' בריאות נוכחית]],EDATE(tbEmploDetails[[#This Row],[תאריך הצ'' בריאות נוכחית]],12)-TODAY(),"")</f>
        <v>336</v>
      </c>
      <c r="X53" s="4">
        <f>COUNTIFS(tbLate[איחור בדק''/חור],"&lt;&gt;חור",tbLate[שם המאחר],tbEmploDetails[[#This Row],[שם מלא]])</f>
        <v>0</v>
      </c>
      <c r="Y53" s="4">
        <f>COUNTIFS(tbLate[איחור בדק''/חור],"חור",tbLate[שם המאחר],tbEmploDetails[[#This Row],[שם מלא]])</f>
        <v>0</v>
      </c>
      <c r="Z53" s="133" t="str">
        <f>IFERROR(AVERAGEIFS(tbLate[איחור בדק''/חור],tbLate[שם המאחר],tbEmploDetails[[#This Row],[שם מלא]]),"")</f>
        <v/>
      </c>
      <c r="AA53" s="4">
        <f ca="1">COUNTIFS(tbLate[שם המאחר],tbEmploDetails[[#This Row],[שם מלא]],tbLate[תאריך],"&gt;"&amp;months2AgoCell,tbLate[מס''דק''איחור],"&gt;0")</f>
        <v>0</v>
      </c>
      <c r="AB53" s="4">
        <f ca="1">COUNTIFS(tbLate[שם המאחר],tbEmploDetails[[#This Row],[שם מלא]],tbLate[תאריך],"&gt;"&amp;months2AgoCell,tbLate[האם חור],"&gt;0")</f>
        <v>0</v>
      </c>
      <c r="AC53" s="4">
        <f>COUNTIFS(tbPerfReview[מאבטח],tbEmploDetails[[#This Row],[שם מלא]])</f>
        <v>0</v>
      </c>
      <c r="AD53" s="133" t="str">
        <f>IFERROR(AVERAGEIFS(tbPerfReview[ציון],tbPerfReview[מאבטח],tbEmploDetails[[#This Row],[שם מלא]]),"")</f>
        <v/>
      </c>
      <c r="AE53" s="4">
        <f ca="1">COUNTIFS(tbPerfReview[תאריך],"&gt;"&amp;yearAgoCell,tbPerfReview[מאבטח],tbEmploDetails[[#This Row],[שם מלא]])</f>
        <v>0</v>
      </c>
      <c r="AF53" s="133" t="str">
        <f ca="1">IFERROR(AVERAGEIFS(tbPerfReview[ציון],tbPerfReview[מאבטח],tbEmploDetails[[#This Row],[שם מלא]],tbPerfReview[תאריך],"&gt;="&amp;yearAgoCell),"")</f>
        <v/>
      </c>
      <c r="AG53" s="4"/>
      <c r="AH53" s="4">
        <f>COUNTIFS(tbDrills[מאבטח],tbEmploDetails[[#This Row],[שם מלא]])</f>
        <v>0</v>
      </c>
      <c r="AI53" s="4" t="str">
        <f>IFERROR(AVERAGEIFS(tbDrills[ציון],tbDrills[מאבטח],tbEmploDetails[[#This Row],[שם מלא]]),"")</f>
        <v/>
      </c>
      <c r="AJ53" s="4">
        <f ca="1">COUNTIFS(tbDrills[תאריך],"&gt;"&amp;yearAgoCell,tbDrills[מאבטח],tbEmploDetails[[#This Row],[שם מלא]])</f>
        <v>0</v>
      </c>
      <c r="AK53" s="4" t="str">
        <f ca="1">IFERROR(AVERAGEIFS(tbDrills[ציון],tbDrills[מאבטח],tbEmploDetails[[#This Row],[שם מלא]],tbDrills[תאריך],"&gt;="&amp;yearAgoCell),"")</f>
        <v/>
      </c>
      <c r="AL53" t="s">
        <v>661</v>
      </c>
      <c r="AM53" s="370">
        <v>25</v>
      </c>
      <c r="AN53" s="4"/>
      <c r="AO53" s="4"/>
      <c r="AP53" s="4">
        <f>ROW()</f>
        <v>53</v>
      </c>
      <c r="AQ53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אבן גבירול 25 , תל אביב</v>
      </c>
    </row>
    <row r="54" spans="1:43">
      <c r="A54" s="371" t="s">
        <v>433</v>
      </c>
      <c r="B54" s="371" t="s">
        <v>107</v>
      </c>
      <c r="C54" s="4" t="str">
        <f>TRIM(tbEmploDetails[[#This Row],[שם משפחה]])&amp;" "&amp;TRIM(tbEmploDetails[[#This Row],[שם פרטי]])</f>
        <v>קרמר דניאל</v>
      </c>
      <c r="D54" t="s">
        <v>511</v>
      </c>
      <c r="E54" t="s">
        <v>539</v>
      </c>
      <c r="F54" t="s">
        <v>613</v>
      </c>
      <c r="G54" t="str">
        <f>TRIM(tbEmploDetails[[#This Row],[כתובת - שם רחוב]]&amp;" "&amp;tbEmploDetails[[#This Row],[כתובת - מס'' רחוב]])</f>
        <v>ביאליק 99</v>
      </c>
      <c r="H54" t="s">
        <v>639</v>
      </c>
      <c r="I54" s="49" t="s">
        <v>35</v>
      </c>
      <c r="J54" s="6"/>
      <c r="L54" t="str">
        <f>TRIM(tbEmploDetails[[#This Row],[איש קשר - שם מלא]] &amp; " (" &amp; tbEmploDetails[[#This Row],[איש קשר - טיב קשר]] &amp; ")")</f>
        <v>()</v>
      </c>
      <c r="M54" s="43">
        <v>42802</v>
      </c>
      <c r="N54" s="4">
        <f ca="1">IF(tbEmploDetails[[#This Row],[תאריך תחילת תעסוקה נוכחית]],TODAY()-tbEmploDetails[[#This Row],[תאריך תחילת תעסוקה נוכחית]],"חסר מידע")</f>
        <v>2756</v>
      </c>
      <c r="O54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7 שנים, 6 חודשים</v>
      </c>
      <c r="P54" s="49" t="s">
        <v>120</v>
      </c>
      <c r="Q54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54" s="48">
        <f>MAX(_xlfn.MAXIFS(tbShetchExam[מס'' פעם], tbShetchExam[נבחן],tbEmploDetails[[#This Row],[שם מלא]]))</f>
        <v>0</v>
      </c>
      <c r="S54" t="s">
        <v>40</v>
      </c>
      <c r="T54" t="s">
        <v>42</v>
      </c>
      <c r="U54" t="s">
        <v>96</v>
      </c>
      <c r="V54" s="2">
        <v>45476</v>
      </c>
      <c r="W54" s="4">
        <f ca="1">IF(tbEmploDetails[[#This Row],[תאריך הצ'' בריאות נוכחית]],EDATE(tbEmploDetails[[#This Row],[תאריך הצ'' בריאות נוכחית]],12)-TODAY(),"")</f>
        <v>283</v>
      </c>
      <c r="X54" s="4">
        <f>COUNTIFS(tbLate[איחור בדק''/חור],"&lt;&gt;חור",tbLate[שם המאחר],tbEmploDetails[[#This Row],[שם מלא]])</f>
        <v>0</v>
      </c>
      <c r="Y54" s="4">
        <f>COUNTIFS(tbLate[איחור בדק''/חור],"חור",tbLate[שם המאחר],tbEmploDetails[[#This Row],[שם מלא]])</f>
        <v>0</v>
      </c>
      <c r="Z54" s="133" t="str">
        <f>IFERROR(AVERAGEIFS(tbLate[איחור בדק''/חור],tbLate[שם המאחר],tbEmploDetails[[#This Row],[שם מלא]]),"")</f>
        <v/>
      </c>
      <c r="AA54" s="4">
        <f ca="1">COUNTIFS(tbLate[שם המאחר],tbEmploDetails[[#This Row],[שם מלא]],tbLate[תאריך],"&gt;"&amp;months2AgoCell,tbLate[מס''דק''איחור],"&gt;0")</f>
        <v>0</v>
      </c>
      <c r="AB54" s="4">
        <f ca="1">COUNTIFS(tbLate[שם המאחר],tbEmploDetails[[#This Row],[שם מלא]],tbLate[תאריך],"&gt;"&amp;months2AgoCell,tbLate[האם חור],"&gt;0")</f>
        <v>0</v>
      </c>
      <c r="AC54" s="4">
        <f>COUNTIFS(tbPerfReview[מאבטח],tbEmploDetails[[#This Row],[שם מלא]])</f>
        <v>0</v>
      </c>
      <c r="AD54" s="133" t="str">
        <f>IFERROR(AVERAGEIFS(tbPerfReview[ציון],tbPerfReview[מאבטח],tbEmploDetails[[#This Row],[שם מלא]]),"")</f>
        <v/>
      </c>
      <c r="AE54" s="4">
        <f ca="1">COUNTIFS(tbPerfReview[תאריך],"&gt;"&amp;yearAgoCell,tbPerfReview[מאבטח],tbEmploDetails[[#This Row],[שם מלא]])</f>
        <v>0</v>
      </c>
      <c r="AF54" s="133" t="str">
        <f ca="1">IFERROR(AVERAGEIFS(tbPerfReview[ציון],tbPerfReview[מאבטח],tbEmploDetails[[#This Row],[שם מלא]],tbPerfReview[תאריך],"&gt;="&amp;yearAgoCell),"")</f>
        <v/>
      </c>
      <c r="AG54" s="4"/>
      <c r="AH54" s="4">
        <f>COUNTIFS(tbDrills[מאבטח],tbEmploDetails[[#This Row],[שם מלא]])</f>
        <v>0</v>
      </c>
      <c r="AI54" s="4" t="str">
        <f>IFERROR(AVERAGEIFS(tbDrills[ציון],tbDrills[מאבטח],tbEmploDetails[[#This Row],[שם מלא]]),"")</f>
        <v/>
      </c>
      <c r="AJ54" s="4">
        <f ca="1">COUNTIFS(tbDrills[תאריך],"&gt;"&amp;yearAgoCell,tbDrills[מאבטח],tbEmploDetails[[#This Row],[שם מלא]])</f>
        <v>0</v>
      </c>
      <c r="AK54" s="4" t="str">
        <f ca="1">IFERROR(AVERAGEIFS(tbDrills[ציון],tbDrills[מאבטח],tbEmploDetails[[#This Row],[שם מלא]],tbDrills[תאריך],"&gt;="&amp;yearAgoCell),"")</f>
        <v/>
      </c>
      <c r="AL54" t="s">
        <v>662</v>
      </c>
      <c r="AM54" s="370">
        <v>99</v>
      </c>
      <c r="AN54" s="4"/>
      <c r="AO54" s="4"/>
      <c r="AP54" s="4">
        <f>ROW()</f>
        <v>54</v>
      </c>
      <c r="AQ54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ביאליק 99 , חולון</v>
      </c>
    </row>
    <row r="55" spans="1:43">
      <c r="A55" s="371" t="s">
        <v>443</v>
      </c>
      <c r="B55" s="371" t="s">
        <v>384</v>
      </c>
      <c r="C55" s="4" t="str">
        <f>TRIM(tbEmploDetails[[#This Row],[שם משפחה]])&amp;" "&amp;TRIM(tbEmploDetails[[#This Row],[שם פרטי]])</f>
        <v>זילברמן איתי</v>
      </c>
      <c r="D55" t="s">
        <v>512</v>
      </c>
      <c r="E55" t="s">
        <v>538</v>
      </c>
      <c r="F55" t="s">
        <v>614</v>
      </c>
      <c r="G55" t="str">
        <f>TRIM(tbEmploDetails[[#This Row],[כתובת - שם רחוב]]&amp;" "&amp;tbEmploDetails[[#This Row],[כתובת - מס'' רחוב]])</f>
        <v>יפו 14</v>
      </c>
      <c r="H55" t="s">
        <v>632</v>
      </c>
      <c r="I55" s="49" t="s">
        <v>35</v>
      </c>
      <c r="J55" s="6"/>
      <c r="L55" t="str">
        <f>TRIM(tbEmploDetails[[#This Row],[איש קשר - שם מלא]] &amp; " (" &amp; tbEmploDetails[[#This Row],[איש קשר - טיב קשר]] &amp; ")")</f>
        <v>()</v>
      </c>
      <c r="M55" s="43">
        <v>44392</v>
      </c>
      <c r="N55" s="4">
        <f ca="1">IF(tbEmploDetails[[#This Row],[תאריך תחילת תעסוקה נוכחית]],TODAY()-tbEmploDetails[[#This Row],[תאריך תחילת תעסוקה נוכחית]],"חסר מידע")</f>
        <v>1166</v>
      </c>
      <c r="O55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2 חודשים</v>
      </c>
      <c r="P55" s="49" t="s">
        <v>120</v>
      </c>
      <c r="Q55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55" s="48">
        <f>MAX(_xlfn.MAXIFS(tbShetchExam[מס'' פעם], tbShetchExam[נבחן],tbEmploDetails[[#This Row],[שם מלא]]))</f>
        <v>0</v>
      </c>
      <c r="S55" t="s">
        <v>40</v>
      </c>
      <c r="T55" t="s">
        <v>42</v>
      </c>
      <c r="U55" t="s">
        <v>93</v>
      </c>
      <c r="V55" s="2">
        <v>45529</v>
      </c>
      <c r="W55" s="4">
        <f ca="1">IF(tbEmploDetails[[#This Row],[תאריך הצ'' בריאות נוכחית]],EDATE(tbEmploDetails[[#This Row],[תאריך הצ'' בריאות נוכחית]],12)-TODAY(),"")</f>
        <v>336</v>
      </c>
      <c r="X55" s="4">
        <f>COUNTIFS(tbLate[איחור בדק''/חור],"&lt;&gt;חור",tbLate[שם המאחר],tbEmploDetails[[#This Row],[שם מלא]])</f>
        <v>0</v>
      </c>
      <c r="Y55" s="4">
        <f>COUNTIFS(tbLate[איחור בדק''/חור],"חור",tbLate[שם המאחר],tbEmploDetails[[#This Row],[שם מלא]])</f>
        <v>1</v>
      </c>
      <c r="Z55" s="133" t="str">
        <f>IFERROR(AVERAGEIFS(tbLate[איחור בדק''/חור],tbLate[שם המאחר],tbEmploDetails[[#This Row],[שם מלא]]),"")</f>
        <v/>
      </c>
      <c r="AA55" s="4">
        <f ca="1">COUNTIFS(tbLate[שם המאחר],tbEmploDetails[[#This Row],[שם מלא]],tbLate[תאריך],"&gt;"&amp;months2AgoCell,tbLate[מס''דק''איחור],"&gt;0")</f>
        <v>0</v>
      </c>
      <c r="AB55" s="4">
        <f ca="1">COUNTIFS(tbLate[שם המאחר],tbEmploDetails[[#This Row],[שם מלא]],tbLate[תאריך],"&gt;"&amp;months2AgoCell,tbLate[האם חור],"&gt;0")</f>
        <v>1</v>
      </c>
      <c r="AC55" s="4">
        <f>COUNTIFS(tbPerfReview[מאבטח],tbEmploDetails[[#This Row],[שם מלא]])</f>
        <v>0</v>
      </c>
      <c r="AD55" s="133" t="str">
        <f>IFERROR(AVERAGEIFS(tbPerfReview[ציון],tbPerfReview[מאבטח],tbEmploDetails[[#This Row],[שם מלא]]),"")</f>
        <v/>
      </c>
      <c r="AE55" s="4">
        <f ca="1">COUNTIFS(tbPerfReview[תאריך],"&gt;"&amp;yearAgoCell,tbPerfReview[מאבטח],tbEmploDetails[[#This Row],[שם מלא]])</f>
        <v>0</v>
      </c>
      <c r="AF55" s="133" t="str">
        <f ca="1">IFERROR(AVERAGEIFS(tbPerfReview[ציון],tbPerfReview[מאבטח],tbEmploDetails[[#This Row],[שם מלא]],tbPerfReview[תאריך],"&gt;="&amp;yearAgoCell),"")</f>
        <v/>
      </c>
      <c r="AG55" s="4"/>
      <c r="AH55" s="4">
        <f>COUNTIFS(tbDrills[מאבטח],tbEmploDetails[[#This Row],[שם מלא]])</f>
        <v>0</v>
      </c>
      <c r="AI55" s="4" t="str">
        <f>IFERROR(AVERAGEIFS(tbDrills[ציון],tbDrills[מאבטח],tbEmploDetails[[#This Row],[שם מלא]]),"")</f>
        <v/>
      </c>
      <c r="AJ55" s="4">
        <f ca="1">COUNTIFS(tbDrills[תאריך],"&gt;"&amp;yearAgoCell,tbDrills[מאבטח],tbEmploDetails[[#This Row],[שם מלא]])</f>
        <v>0</v>
      </c>
      <c r="AK55" s="4" t="str">
        <f ca="1">IFERROR(AVERAGEIFS(tbDrills[ציון],tbDrills[מאבטח],tbEmploDetails[[#This Row],[שם מלא]],tbDrills[תאריך],"&gt;="&amp;yearAgoCell),"")</f>
        <v/>
      </c>
      <c r="AL55" t="s">
        <v>663</v>
      </c>
      <c r="AM55" s="370">
        <v>14</v>
      </c>
      <c r="AN55" s="4"/>
      <c r="AO55" s="4"/>
      <c r="AP55" s="4">
        <f>ROW()</f>
        <v>55</v>
      </c>
      <c r="AQ55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יפו 14 , ירושלים</v>
      </c>
    </row>
    <row r="56" spans="1:43">
      <c r="A56" s="371" t="s">
        <v>444</v>
      </c>
      <c r="B56" s="371" t="s">
        <v>445</v>
      </c>
      <c r="C56" s="4" t="str">
        <f>TRIM(tbEmploDetails[[#This Row],[שם משפחה]])&amp;" "&amp;TRIM(tbEmploDetails[[#This Row],[שם פרטי]])</f>
        <v>פרידלנדר נמרוד</v>
      </c>
      <c r="D56" t="s">
        <v>513</v>
      </c>
      <c r="E56" t="s">
        <v>519</v>
      </c>
      <c r="F56" t="s">
        <v>615</v>
      </c>
      <c r="G56" t="str">
        <f>TRIM(tbEmploDetails[[#This Row],[כתובת - שם רחוב]]&amp;" "&amp;tbEmploDetails[[#This Row],[כתובת - מס'' רחוב]])</f>
        <v>בורוכוב 20</v>
      </c>
      <c r="H56" t="s">
        <v>640</v>
      </c>
      <c r="I56" s="49" t="s">
        <v>36</v>
      </c>
      <c r="J56" s="6"/>
      <c r="L56" t="str">
        <f>TRIM(tbEmploDetails[[#This Row],[איש קשר - שם מלא]] &amp; " (" &amp; tbEmploDetails[[#This Row],[איש קשר - טיב קשר]] &amp; ")")</f>
        <v>()</v>
      </c>
      <c r="M56" s="43">
        <v>42307</v>
      </c>
      <c r="N56" s="4">
        <f ca="1">IF(tbEmploDetails[[#This Row],[תאריך תחילת תעסוקה נוכחית]],TODAY()-tbEmploDetails[[#This Row],[תאריך תחילת תעסוקה נוכחית]],"חסר מידע")</f>
        <v>3251</v>
      </c>
      <c r="O56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10 חודשים</v>
      </c>
      <c r="P56" s="49" t="s">
        <v>120</v>
      </c>
      <c r="Q56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56" s="48">
        <f>MAX(_xlfn.MAXIFS(tbShetchExam[מס'' פעם], tbShetchExam[נבחן],tbEmploDetails[[#This Row],[שם מלא]]))</f>
        <v>0</v>
      </c>
      <c r="S56" t="s">
        <v>40</v>
      </c>
      <c r="T56" t="s">
        <v>42</v>
      </c>
      <c r="U56" t="s">
        <v>93</v>
      </c>
      <c r="V56" s="2">
        <v>45571</v>
      </c>
      <c r="W56" s="4">
        <f ca="1">IF(tbEmploDetails[[#This Row],[תאריך הצ'' בריאות נוכחית]],EDATE(tbEmploDetails[[#This Row],[תאריך הצ'' בריאות נוכחית]],12)-TODAY(),"")</f>
        <v>378</v>
      </c>
      <c r="X56" s="4">
        <f>COUNTIFS(tbLate[איחור בדק''/חור],"&lt;&gt;חור",tbLate[שם המאחר],tbEmploDetails[[#This Row],[שם מלא]])</f>
        <v>0</v>
      </c>
      <c r="Y56" s="4">
        <f>COUNTIFS(tbLate[איחור בדק''/חור],"חור",tbLate[שם המאחר],tbEmploDetails[[#This Row],[שם מלא]])</f>
        <v>0</v>
      </c>
      <c r="Z56" s="133" t="str">
        <f>IFERROR(AVERAGEIFS(tbLate[איחור בדק''/חור],tbLate[שם המאחר],tbEmploDetails[[#This Row],[שם מלא]]),"")</f>
        <v/>
      </c>
      <c r="AA56" s="4">
        <f ca="1">COUNTIFS(tbLate[שם המאחר],tbEmploDetails[[#This Row],[שם מלא]],tbLate[תאריך],"&gt;"&amp;months2AgoCell,tbLate[מס''דק''איחור],"&gt;0")</f>
        <v>0</v>
      </c>
      <c r="AB56" s="4">
        <f ca="1">COUNTIFS(tbLate[שם המאחר],tbEmploDetails[[#This Row],[שם מלא]],tbLate[תאריך],"&gt;"&amp;months2AgoCell,tbLate[האם חור],"&gt;0")</f>
        <v>0</v>
      </c>
      <c r="AC56" s="4">
        <f>COUNTIFS(tbPerfReview[מאבטח],tbEmploDetails[[#This Row],[שם מלא]])</f>
        <v>0</v>
      </c>
      <c r="AD56" s="133" t="str">
        <f>IFERROR(AVERAGEIFS(tbPerfReview[ציון],tbPerfReview[מאבטח],tbEmploDetails[[#This Row],[שם מלא]]),"")</f>
        <v/>
      </c>
      <c r="AE56" s="4">
        <f ca="1">COUNTIFS(tbPerfReview[תאריך],"&gt;"&amp;yearAgoCell,tbPerfReview[מאבטח],tbEmploDetails[[#This Row],[שם מלא]])</f>
        <v>0</v>
      </c>
      <c r="AF56" s="133" t="str">
        <f ca="1">IFERROR(AVERAGEIFS(tbPerfReview[ציון],tbPerfReview[מאבטח],tbEmploDetails[[#This Row],[שם מלא]],tbPerfReview[תאריך],"&gt;="&amp;yearAgoCell),"")</f>
        <v/>
      </c>
      <c r="AG56" s="4"/>
      <c r="AH56" s="4">
        <f>COUNTIFS(tbDrills[מאבטח],tbEmploDetails[[#This Row],[שם מלא]])</f>
        <v>0</v>
      </c>
      <c r="AI56" s="4" t="str">
        <f>IFERROR(AVERAGEIFS(tbDrills[ציון],tbDrills[מאבטח],tbEmploDetails[[#This Row],[שם מלא]]),"")</f>
        <v/>
      </c>
      <c r="AJ56" s="4">
        <f ca="1">COUNTIFS(tbDrills[תאריך],"&gt;"&amp;yearAgoCell,tbDrills[מאבטח],tbEmploDetails[[#This Row],[שם מלא]])</f>
        <v>0</v>
      </c>
      <c r="AK56" s="4" t="str">
        <f ca="1">IFERROR(AVERAGEIFS(tbDrills[ציון],tbDrills[מאבטח],tbEmploDetails[[#This Row],[שם מלא]],tbDrills[תאריך],"&gt;="&amp;yearAgoCell),"")</f>
        <v/>
      </c>
      <c r="AL56" t="s">
        <v>360</v>
      </c>
      <c r="AM56" s="370">
        <v>20</v>
      </c>
      <c r="AN56" s="4"/>
      <c r="AO56" s="4"/>
      <c r="AP56" s="4">
        <f>ROW()</f>
        <v>56</v>
      </c>
      <c r="AQ56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בורוכוב 20 , גבעתיים</v>
      </c>
    </row>
    <row r="57" spans="1:43">
      <c r="A57" s="371" t="s">
        <v>446</v>
      </c>
      <c r="B57" s="371" t="s">
        <v>434</v>
      </c>
      <c r="C57" s="4" t="str">
        <f>TRIM(tbEmploDetails[[#This Row],[שם משפחה]])&amp;" "&amp;TRIM(tbEmploDetails[[#This Row],[שם פרטי]])</f>
        <v>נחשון דנה</v>
      </c>
      <c r="D57" t="s">
        <v>514</v>
      </c>
      <c r="E57" t="s">
        <v>533</v>
      </c>
      <c r="F57" t="s">
        <v>616</v>
      </c>
      <c r="G57" t="str">
        <f>TRIM(tbEmploDetails[[#This Row],[כתובת - שם רחוב]]&amp;" "&amp;tbEmploDetails[[#This Row],[כתובת - מס'' רחוב]])</f>
        <v>ארלוזורוב 18</v>
      </c>
      <c r="H57" t="s">
        <v>641</v>
      </c>
      <c r="I57" s="49" t="s">
        <v>35</v>
      </c>
      <c r="J57" s="6"/>
      <c r="L57" t="str">
        <f>TRIM(tbEmploDetails[[#This Row],[איש קשר - שם מלא]] &amp; " (" &amp; tbEmploDetails[[#This Row],[איש קשר - טיב קשר]] &amp; ")")</f>
        <v>()</v>
      </c>
      <c r="M57" s="43">
        <v>42388</v>
      </c>
      <c r="N57" s="4">
        <f ca="1">IF(tbEmploDetails[[#This Row],[תאריך תחילת תעסוקה נוכחית]],TODAY()-tbEmploDetails[[#This Row],[תאריך תחילת תעסוקה נוכחית]],"חסר מידע")</f>
        <v>3170</v>
      </c>
      <c r="O57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8 חודשים</v>
      </c>
      <c r="P57" s="49" t="s">
        <v>120</v>
      </c>
      <c r="Q57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57" s="48">
        <f>MAX(_xlfn.MAXIFS(tbShetchExam[מס'' פעם], tbShetchExam[נבחן],tbEmploDetails[[#This Row],[שם מלא]]))</f>
        <v>0</v>
      </c>
      <c r="S57" t="s">
        <v>41</v>
      </c>
      <c r="T57" t="s">
        <v>43</v>
      </c>
      <c r="U57" t="s">
        <v>98</v>
      </c>
      <c r="V57" s="2">
        <v>45610</v>
      </c>
      <c r="W57" s="4">
        <f ca="1">IF(tbEmploDetails[[#This Row],[תאריך הצ'' בריאות נוכחית]],EDATE(tbEmploDetails[[#This Row],[תאריך הצ'' בריאות נוכחית]],12)-TODAY(),"")</f>
        <v>417</v>
      </c>
      <c r="X57" s="4">
        <f>COUNTIFS(tbLate[איחור בדק''/חור],"&lt;&gt;חור",tbLate[שם המאחר],tbEmploDetails[[#This Row],[שם מלא]])</f>
        <v>0</v>
      </c>
      <c r="Y57" s="4">
        <f>COUNTIFS(tbLate[איחור בדק''/חור],"חור",tbLate[שם המאחר],tbEmploDetails[[#This Row],[שם מלא]])</f>
        <v>1</v>
      </c>
      <c r="Z57" s="133" t="str">
        <f>IFERROR(AVERAGEIFS(tbLate[איחור בדק''/חור],tbLate[שם המאחר],tbEmploDetails[[#This Row],[שם מלא]]),"")</f>
        <v/>
      </c>
      <c r="AA57" s="4">
        <f ca="1">COUNTIFS(tbLate[שם המאחר],tbEmploDetails[[#This Row],[שם מלא]],tbLate[תאריך],"&gt;"&amp;months2AgoCell,tbLate[מס''דק''איחור],"&gt;0")</f>
        <v>0</v>
      </c>
      <c r="AB57" s="4">
        <f ca="1">COUNTIFS(tbLate[שם המאחר],tbEmploDetails[[#This Row],[שם מלא]],tbLate[תאריך],"&gt;"&amp;months2AgoCell,tbLate[האם חור],"&gt;0")</f>
        <v>1</v>
      </c>
      <c r="AC57" s="4">
        <f>COUNTIFS(tbPerfReview[מאבטח],tbEmploDetails[[#This Row],[שם מלא]])</f>
        <v>0</v>
      </c>
      <c r="AD57" s="133" t="str">
        <f>IFERROR(AVERAGEIFS(tbPerfReview[ציון],tbPerfReview[מאבטח],tbEmploDetails[[#This Row],[שם מלא]]),"")</f>
        <v/>
      </c>
      <c r="AE57" s="4">
        <f ca="1">COUNTIFS(tbPerfReview[תאריך],"&gt;"&amp;yearAgoCell,tbPerfReview[מאבטח],tbEmploDetails[[#This Row],[שם מלא]])</f>
        <v>0</v>
      </c>
      <c r="AF57" s="133" t="str">
        <f ca="1">IFERROR(AVERAGEIFS(tbPerfReview[ציון],tbPerfReview[מאבטח],tbEmploDetails[[#This Row],[שם מלא]],tbPerfReview[תאריך],"&gt;="&amp;yearAgoCell),"")</f>
        <v/>
      </c>
      <c r="AG57" s="4"/>
      <c r="AH57" s="4">
        <f>COUNTIFS(tbDrills[מאבטח],tbEmploDetails[[#This Row],[שם מלא]])</f>
        <v>0</v>
      </c>
      <c r="AI57" s="4" t="str">
        <f>IFERROR(AVERAGEIFS(tbDrills[ציון],tbDrills[מאבטח],tbEmploDetails[[#This Row],[שם מלא]]),"")</f>
        <v/>
      </c>
      <c r="AJ57" s="4">
        <f ca="1">COUNTIFS(tbDrills[תאריך],"&gt;"&amp;yearAgoCell,tbDrills[מאבטח],tbEmploDetails[[#This Row],[שם מלא]])</f>
        <v>0</v>
      </c>
      <c r="AK57" s="4" t="str">
        <f ca="1">IFERROR(AVERAGEIFS(tbDrills[ציון],tbDrills[מאבטח],tbEmploDetails[[#This Row],[שם מלא]],tbDrills[תאריך],"&gt;="&amp;yearAgoCell),"")</f>
        <v/>
      </c>
      <c r="AL57" t="s">
        <v>664</v>
      </c>
      <c r="AM57" s="370">
        <v>18</v>
      </c>
      <c r="AN57" s="4"/>
      <c r="AO57" s="4"/>
      <c r="AP57" s="4">
        <f>ROW()</f>
        <v>57</v>
      </c>
      <c r="AQ57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ארלוזורוב 18 , רעננה</v>
      </c>
    </row>
    <row r="58" spans="1:43">
      <c r="A58" s="371" t="s">
        <v>447</v>
      </c>
      <c r="B58" s="371" t="s">
        <v>410</v>
      </c>
      <c r="C58" s="4" t="str">
        <f>TRIM(tbEmploDetails[[#This Row],[שם משפחה]])&amp;" "&amp;TRIM(tbEmploDetails[[#This Row],[שם פרטי]])</f>
        <v>שחם רועי</v>
      </c>
      <c r="D58" t="s">
        <v>515</v>
      </c>
      <c r="E58" t="s">
        <v>551</v>
      </c>
      <c r="F58" t="s">
        <v>617</v>
      </c>
      <c r="G58" t="str">
        <f>TRIM(tbEmploDetails[[#This Row],[כתובת - שם רחוב]]&amp;" "&amp;tbEmploDetails[[#This Row],[כתובת - מס'' רחוב]])</f>
        <v>קפלן 50</v>
      </c>
      <c r="H58" t="s">
        <v>642</v>
      </c>
      <c r="I58" s="49" t="s">
        <v>35</v>
      </c>
      <c r="J58" s="6"/>
      <c r="L58" t="str">
        <f>TRIM(tbEmploDetails[[#This Row],[איש קשר - שם מלא]] &amp; " (" &amp; tbEmploDetails[[#This Row],[איש קשר - טיב קשר]] &amp; ")")</f>
        <v>()</v>
      </c>
      <c r="M58" s="43">
        <v>43711</v>
      </c>
      <c r="N58" s="4">
        <f ca="1">IF(tbEmploDetails[[#This Row],[תאריך תחילת תעסוקה נוכחית]],TODAY()-tbEmploDetails[[#This Row],[תאריך תחילת תעסוקה נוכחית]],"חסר מידע")</f>
        <v>1847</v>
      </c>
      <c r="O58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5 שנים, 15 ימים</v>
      </c>
      <c r="P58" s="49" t="s">
        <v>120</v>
      </c>
      <c r="Q58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58" s="48">
        <f>MAX(_xlfn.MAXIFS(tbShetchExam[מס'' פעם], tbShetchExam[נבחן],tbEmploDetails[[#This Row],[שם מלא]]))</f>
        <v>0</v>
      </c>
      <c r="S58" t="s">
        <v>40</v>
      </c>
      <c r="T58" t="s">
        <v>42</v>
      </c>
      <c r="U58" t="s">
        <v>93</v>
      </c>
      <c r="V58" s="2">
        <v>45298</v>
      </c>
      <c r="W58" s="4">
        <f ca="1">IF(tbEmploDetails[[#This Row],[תאריך הצ'' בריאות נוכחית]],EDATE(tbEmploDetails[[#This Row],[תאריך הצ'' בריאות נוכחית]],12)-TODAY(),"")</f>
        <v>106</v>
      </c>
      <c r="X58" s="4">
        <f>COUNTIFS(tbLate[איחור בדק''/חור],"&lt;&gt;חור",tbLate[שם המאחר],tbEmploDetails[[#This Row],[שם מלא]])</f>
        <v>0</v>
      </c>
      <c r="Y58" s="4">
        <f>COUNTIFS(tbLate[איחור בדק''/חור],"חור",tbLate[שם המאחר],tbEmploDetails[[#This Row],[שם מלא]])</f>
        <v>0</v>
      </c>
      <c r="Z58" s="133" t="str">
        <f>IFERROR(AVERAGEIFS(tbLate[איחור בדק''/חור],tbLate[שם המאחר],tbEmploDetails[[#This Row],[שם מלא]]),"")</f>
        <v/>
      </c>
      <c r="AA58" s="4">
        <f ca="1">COUNTIFS(tbLate[שם המאחר],tbEmploDetails[[#This Row],[שם מלא]],tbLate[תאריך],"&gt;"&amp;months2AgoCell,tbLate[מס''דק''איחור],"&gt;0")</f>
        <v>0</v>
      </c>
      <c r="AB58" s="4">
        <f ca="1">COUNTIFS(tbLate[שם המאחר],tbEmploDetails[[#This Row],[שם מלא]],tbLate[תאריך],"&gt;"&amp;months2AgoCell,tbLate[האם חור],"&gt;0")</f>
        <v>0</v>
      </c>
      <c r="AC58" s="4">
        <f>COUNTIFS(tbPerfReview[מאבטח],tbEmploDetails[[#This Row],[שם מלא]])</f>
        <v>0</v>
      </c>
      <c r="AD58" s="133" t="str">
        <f>IFERROR(AVERAGEIFS(tbPerfReview[ציון],tbPerfReview[מאבטח],tbEmploDetails[[#This Row],[שם מלא]]),"")</f>
        <v/>
      </c>
      <c r="AE58" s="4">
        <f ca="1">COUNTIFS(tbPerfReview[תאריך],"&gt;"&amp;yearAgoCell,tbPerfReview[מאבטח],tbEmploDetails[[#This Row],[שם מלא]])</f>
        <v>0</v>
      </c>
      <c r="AF58" s="133" t="str">
        <f ca="1">IFERROR(AVERAGEIFS(tbPerfReview[ציון],tbPerfReview[מאבטח],tbEmploDetails[[#This Row],[שם מלא]],tbPerfReview[תאריך],"&gt;="&amp;yearAgoCell),"")</f>
        <v/>
      </c>
      <c r="AG58" s="4"/>
      <c r="AH58" s="4">
        <f>COUNTIFS(tbDrills[מאבטח],tbEmploDetails[[#This Row],[שם מלא]])</f>
        <v>0</v>
      </c>
      <c r="AI58" s="4" t="str">
        <f>IFERROR(AVERAGEIFS(tbDrills[ציון],tbDrills[מאבטח],tbEmploDetails[[#This Row],[שם מלא]]),"")</f>
        <v/>
      </c>
      <c r="AJ58" s="4">
        <f ca="1">COUNTIFS(tbDrills[תאריך],"&gt;"&amp;yearAgoCell,tbDrills[מאבטח],tbEmploDetails[[#This Row],[שם מלא]])</f>
        <v>0</v>
      </c>
      <c r="AK58" s="4" t="str">
        <f ca="1">IFERROR(AVERAGEIFS(tbDrills[ציון],tbDrills[מאבטח],tbEmploDetails[[#This Row],[שם מלא]],tbDrills[תאריך],"&gt;="&amp;yearAgoCell),"")</f>
        <v/>
      </c>
      <c r="AL58" t="s">
        <v>405</v>
      </c>
      <c r="AM58" s="370">
        <v>50</v>
      </c>
      <c r="AN58" s="4"/>
      <c r="AO58" s="4"/>
      <c r="AP58" s="4">
        <f>ROW()</f>
        <v>58</v>
      </c>
      <c r="AQ58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קפלן 50 , הרצליה</v>
      </c>
    </row>
    <row r="59" spans="1:43">
      <c r="A59" s="371" t="s">
        <v>448</v>
      </c>
      <c r="B59" s="371" t="s">
        <v>359</v>
      </c>
      <c r="C59" s="4" t="str">
        <f>TRIM(tbEmploDetails[[#This Row],[שם משפחה]])&amp;" "&amp;TRIM(tbEmploDetails[[#This Row],[שם פרטי]])</f>
        <v>אביטן יאיר</v>
      </c>
      <c r="D59" t="s">
        <v>516</v>
      </c>
      <c r="E59" t="s">
        <v>552</v>
      </c>
      <c r="F59" t="s">
        <v>618</v>
      </c>
      <c r="G59" t="str">
        <f>TRIM(tbEmploDetails[[#This Row],[כתובת - שם רחוב]]&amp;" "&amp;tbEmploDetails[[#This Row],[כתובת - מס'' רחוב]])</f>
        <v>העצמאות 12</v>
      </c>
      <c r="H59" t="s">
        <v>643</v>
      </c>
      <c r="I59" s="49" t="s">
        <v>36</v>
      </c>
      <c r="J59" s="6"/>
      <c r="L59" t="str">
        <f>TRIM(tbEmploDetails[[#This Row],[איש קשר - שם מלא]] &amp; " (" &amp; tbEmploDetails[[#This Row],[איש קשר - טיב קשר]] &amp; ")")</f>
        <v>()</v>
      </c>
      <c r="M59" s="43">
        <v>41754</v>
      </c>
      <c r="N59" s="4">
        <f ca="1">IF(tbEmploDetails[[#This Row],[תאריך תחילת תעסוקה נוכחית]],TODAY()-tbEmploDetails[[#This Row],[תאריך תחילת תעסוקה נוכחית]],"חסר מידע")</f>
        <v>3804</v>
      </c>
      <c r="O59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10 שנים, 4 חודשים</v>
      </c>
      <c r="P59" s="49" t="s">
        <v>120</v>
      </c>
      <c r="Q59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59" s="48">
        <f>MAX(_xlfn.MAXIFS(tbShetchExam[מס'' פעם], tbShetchExam[נבחן],tbEmploDetails[[#This Row],[שם מלא]]))</f>
        <v>0</v>
      </c>
      <c r="S59" t="s">
        <v>40</v>
      </c>
      <c r="T59" t="s">
        <v>42</v>
      </c>
      <c r="U59" t="s">
        <v>93</v>
      </c>
      <c r="V59" s="2">
        <v>45344</v>
      </c>
      <c r="W59" s="4">
        <f ca="1">IF(tbEmploDetails[[#This Row],[תאריך הצ'' בריאות נוכחית]],EDATE(tbEmploDetails[[#This Row],[תאריך הצ'' בריאות נוכחית]],12)-TODAY(),"")</f>
        <v>152</v>
      </c>
      <c r="X59" s="4">
        <f>COUNTIFS(tbLate[איחור בדק''/חור],"&lt;&gt;חור",tbLate[שם המאחר],tbEmploDetails[[#This Row],[שם מלא]])</f>
        <v>0</v>
      </c>
      <c r="Y59" s="4">
        <f>COUNTIFS(tbLate[איחור בדק''/חור],"חור",tbLate[שם המאחר],tbEmploDetails[[#This Row],[שם מלא]])</f>
        <v>0</v>
      </c>
      <c r="Z59" s="133" t="str">
        <f>IFERROR(AVERAGEIFS(tbLate[איחור בדק''/חור],tbLate[שם המאחר],tbEmploDetails[[#This Row],[שם מלא]]),"")</f>
        <v/>
      </c>
      <c r="AA59" s="4">
        <f ca="1">COUNTIFS(tbLate[שם המאחר],tbEmploDetails[[#This Row],[שם מלא]],tbLate[תאריך],"&gt;"&amp;months2AgoCell,tbLate[מס''דק''איחור],"&gt;0")</f>
        <v>0</v>
      </c>
      <c r="AB59" s="4">
        <f ca="1">COUNTIFS(tbLate[שם המאחר],tbEmploDetails[[#This Row],[שם מלא]],tbLate[תאריך],"&gt;"&amp;months2AgoCell,tbLate[האם חור],"&gt;0")</f>
        <v>0</v>
      </c>
      <c r="AC59" s="4">
        <f>COUNTIFS(tbPerfReview[מאבטח],tbEmploDetails[[#This Row],[שם מלא]])</f>
        <v>0</v>
      </c>
      <c r="AD59" s="133" t="str">
        <f>IFERROR(AVERAGEIFS(tbPerfReview[ציון],tbPerfReview[מאבטח],tbEmploDetails[[#This Row],[שם מלא]]),"")</f>
        <v/>
      </c>
      <c r="AE59" s="4">
        <f ca="1">COUNTIFS(tbPerfReview[תאריך],"&gt;"&amp;yearAgoCell,tbPerfReview[מאבטח],tbEmploDetails[[#This Row],[שם מלא]])</f>
        <v>0</v>
      </c>
      <c r="AF59" s="133" t="str">
        <f ca="1">IFERROR(AVERAGEIFS(tbPerfReview[ציון],tbPerfReview[מאבטח],tbEmploDetails[[#This Row],[שם מלא]],tbPerfReview[תאריך],"&gt;="&amp;yearAgoCell),"")</f>
        <v/>
      </c>
      <c r="AG59" s="4"/>
      <c r="AH59" s="4">
        <f>COUNTIFS(tbDrills[מאבטח],tbEmploDetails[[#This Row],[שם מלא]])</f>
        <v>0</v>
      </c>
      <c r="AI59" s="4" t="str">
        <f>IFERROR(AVERAGEIFS(tbDrills[ציון],tbDrills[מאבטח],tbEmploDetails[[#This Row],[שם מלא]]),"")</f>
        <v/>
      </c>
      <c r="AJ59" s="4">
        <f ca="1">COUNTIFS(tbDrills[תאריך],"&gt;"&amp;yearAgoCell,tbDrills[מאבטח],tbEmploDetails[[#This Row],[שם מלא]])</f>
        <v>0</v>
      </c>
      <c r="AK59" s="4" t="str">
        <f ca="1">IFERROR(AVERAGEIFS(tbDrills[ציון],tbDrills[מאבטח],tbEmploDetails[[#This Row],[שם מלא]],tbDrills[תאריך],"&gt;="&amp;yearAgoCell),"")</f>
        <v/>
      </c>
      <c r="AL59" t="s">
        <v>665</v>
      </c>
      <c r="AM59" s="370">
        <v>12</v>
      </c>
      <c r="AN59" s="4"/>
      <c r="AO59" s="4"/>
      <c r="AP59" s="4">
        <f>ROW()</f>
        <v>59</v>
      </c>
      <c r="AQ59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העצמאות 12 , אילת</v>
      </c>
    </row>
    <row r="60" spans="1:43">
      <c r="A60" s="371" t="s">
        <v>449</v>
      </c>
      <c r="B60" s="371" t="s">
        <v>355</v>
      </c>
      <c r="C60" s="4" t="str">
        <f>TRIM(tbEmploDetails[[#This Row],[שם משפחה]])&amp;" "&amp;TRIM(tbEmploDetails[[#This Row],[שם פרטי]])</f>
        <v>גבאי אלון</v>
      </c>
      <c r="D60" t="s">
        <v>517</v>
      </c>
      <c r="E60" t="s">
        <v>553</v>
      </c>
      <c r="F60" t="s">
        <v>619</v>
      </c>
      <c r="G60" t="str">
        <f>TRIM(tbEmploDetails[[#This Row],[כתובת - שם רחוב]]&amp;" "&amp;tbEmploDetails[[#This Row],[כתובת - מס'' רחוב]])</f>
        <v>ברנר 22</v>
      </c>
      <c r="H60" t="s">
        <v>644</v>
      </c>
      <c r="I60" s="49" t="s">
        <v>35</v>
      </c>
      <c r="J60" s="6"/>
      <c r="L60" t="str">
        <f>TRIM(tbEmploDetails[[#This Row],[איש קשר - שם מלא]] &amp; " (" &amp; tbEmploDetails[[#This Row],[איש קשר - טיב קשר]] &amp; ")")</f>
        <v>()</v>
      </c>
      <c r="M60" s="43">
        <v>44901</v>
      </c>
      <c r="N60" s="4">
        <f ca="1">IF(tbEmploDetails[[#This Row],[תאריך תחילת תעסוקה נוכחית]],TODAY()-tbEmploDetails[[#This Row],[תאריך תחילת תעסוקה נוכחית]],"חסר מידע")</f>
        <v>657</v>
      </c>
      <c r="O60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 שנים, 9 חודשים</v>
      </c>
      <c r="P60" s="49" t="s">
        <v>120</v>
      </c>
      <c r="Q60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60" s="48">
        <f>MAX(_xlfn.MAXIFS(tbShetchExam[מס'' פעם], tbShetchExam[נבחן],tbEmploDetails[[#This Row],[שם מלא]]))</f>
        <v>0</v>
      </c>
      <c r="S60" t="s">
        <v>40</v>
      </c>
      <c r="T60" t="s">
        <v>42</v>
      </c>
      <c r="U60" t="s">
        <v>93</v>
      </c>
      <c r="V60" s="2">
        <v>45364</v>
      </c>
      <c r="W60" s="4">
        <f ca="1">IF(tbEmploDetails[[#This Row],[תאריך הצ'' בריאות נוכחית]],EDATE(tbEmploDetails[[#This Row],[תאריך הצ'' בריאות נוכחית]],12)-TODAY(),"")</f>
        <v>171</v>
      </c>
      <c r="X60" s="4">
        <f>COUNTIFS(tbLate[איחור בדק''/חור],"&lt;&gt;חור",tbLate[שם המאחר],tbEmploDetails[[#This Row],[שם מלא]])</f>
        <v>0</v>
      </c>
      <c r="Y60" s="4">
        <f>COUNTIFS(tbLate[איחור בדק''/חור],"חור",tbLate[שם המאחר],tbEmploDetails[[#This Row],[שם מלא]])</f>
        <v>0</v>
      </c>
      <c r="Z60" s="133" t="str">
        <f>IFERROR(AVERAGEIFS(tbLate[איחור בדק''/חור],tbLate[שם המאחר],tbEmploDetails[[#This Row],[שם מלא]]),"")</f>
        <v/>
      </c>
      <c r="AA60" s="4">
        <f ca="1">COUNTIFS(tbLate[שם המאחר],tbEmploDetails[[#This Row],[שם מלא]],tbLate[תאריך],"&gt;"&amp;months2AgoCell,tbLate[מס''דק''איחור],"&gt;0")</f>
        <v>0</v>
      </c>
      <c r="AB60" s="4">
        <f ca="1">COUNTIFS(tbLate[שם המאחר],tbEmploDetails[[#This Row],[שם מלא]],tbLate[תאריך],"&gt;"&amp;months2AgoCell,tbLate[האם חור],"&gt;0")</f>
        <v>0</v>
      </c>
      <c r="AC60" s="4">
        <f>COUNTIFS(tbPerfReview[מאבטח],tbEmploDetails[[#This Row],[שם מלא]])</f>
        <v>0</v>
      </c>
      <c r="AD60" s="133" t="str">
        <f>IFERROR(AVERAGEIFS(tbPerfReview[ציון],tbPerfReview[מאבטח],tbEmploDetails[[#This Row],[שם מלא]]),"")</f>
        <v/>
      </c>
      <c r="AE60" s="4">
        <f ca="1">COUNTIFS(tbPerfReview[תאריך],"&gt;"&amp;yearAgoCell,tbPerfReview[מאבטח],tbEmploDetails[[#This Row],[שם מלא]])</f>
        <v>0</v>
      </c>
      <c r="AF60" s="133" t="str">
        <f ca="1">IFERROR(AVERAGEIFS(tbPerfReview[ציון],tbPerfReview[מאבטח],tbEmploDetails[[#This Row],[שם מלא]],tbPerfReview[תאריך],"&gt;="&amp;yearAgoCell),"")</f>
        <v/>
      </c>
      <c r="AG60" s="4"/>
      <c r="AH60" s="4">
        <f>COUNTIFS(tbDrills[מאבטח],tbEmploDetails[[#This Row],[שם מלא]])</f>
        <v>0</v>
      </c>
      <c r="AI60" s="4" t="str">
        <f>IFERROR(AVERAGEIFS(tbDrills[ציון],tbDrills[מאבטח],tbEmploDetails[[#This Row],[שם מלא]]),"")</f>
        <v/>
      </c>
      <c r="AJ60" s="4">
        <f ca="1">COUNTIFS(tbDrills[תאריך],"&gt;"&amp;yearAgoCell,tbDrills[מאבטח],tbEmploDetails[[#This Row],[שם מלא]])</f>
        <v>0</v>
      </c>
      <c r="AK60" s="4" t="str">
        <f ca="1">IFERROR(AVERAGEIFS(tbDrills[ציון],tbDrills[מאבטח],tbEmploDetails[[#This Row],[שם מלא]],tbDrills[תאריך],"&gt;="&amp;yearAgoCell),"")</f>
        <v/>
      </c>
      <c r="AL60" t="s">
        <v>666</v>
      </c>
      <c r="AM60" s="370">
        <v>22</v>
      </c>
      <c r="AN60" s="4"/>
      <c r="AO60" s="4"/>
      <c r="AP60" s="4">
        <f>ROW()</f>
        <v>60</v>
      </c>
      <c r="AQ60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ברנר 22 , אשדוד</v>
      </c>
    </row>
    <row r="61" spans="1:43">
      <c r="A61" s="371" t="s">
        <v>450</v>
      </c>
      <c r="B61" s="371" t="s">
        <v>105</v>
      </c>
      <c r="C61" s="4" t="str">
        <f>TRIM(tbEmploDetails[[#This Row],[שם משפחה]])&amp;" "&amp;TRIM(tbEmploDetails[[#This Row],[שם פרטי]])</f>
        <v>אורן עומר</v>
      </c>
      <c r="D61" t="s">
        <v>518</v>
      </c>
      <c r="E61" t="s">
        <v>535</v>
      </c>
      <c r="F61" t="s">
        <v>620</v>
      </c>
      <c r="G61" t="str">
        <f>TRIM(tbEmploDetails[[#This Row],[כתובת - שם רחוב]]&amp;" "&amp;tbEmploDetails[[#This Row],[כתובת - מס'' רחוב]])</f>
        <v>פינסקר 7</v>
      </c>
      <c r="H61" t="s">
        <v>645</v>
      </c>
      <c r="I61" s="49" t="s">
        <v>35</v>
      </c>
      <c r="J61" s="6"/>
      <c r="L61" t="str">
        <f>TRIM(tbEmploDetails[[#This Row],[איש קשר - שם מלא]] &amp; " (" &amp; tbEmploDetails[[#This Row],[איש קשר - טיב קשר]] &amp; ")")</f>
        <v>()</v>
      </c>
      <c r="M61" s="43">
        <v>42611</v>
      </c>
      <c r="N61" s="4">
        <f ca="1">IF(tbEmploDetails[[#This Row],[תאריך תחילת תעסוקה נוכחית]],TODAY()-tbEmploDetails[[#This Row],[תאריך תחילת תעסוקה נוכחית]],"חסר מידע")</f>
        <v>2947</v>
      </c>
      <c r="O61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4 ימים</v>
      </c>
      <c r="P61" s="49" t="s">
        <v>272</v>
      </c>
      <c r="Q61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61" s="48">
        <f>MAX(_xlfn.MAXIFS(tbShetchExam[מס'' פעם], tbShetchExam[נבחן],tbEmploDetails[[#This Row],[שם מלא]]))</f>
        <v>0</v>
      </c>
      <c r="S61" t="s">
        <v>41</v>
      </c>
      <c r="T61" t="s">
        <v>43</v>
      </c>
      <c r="U61" t="s">
        <v>96</v>
      </c>
      <c r="V61" s="2">
        <v>45411</v>
      </c>
      <c r="W61" s="4">
        <f ca="1">IF(tbEmploDetails[[#This Row],[תאריך הצ'' בריאות נוכחית]],EDATE(tbEmploDetails[[#This Row],[תאריך הצ'' בריאות נוכחית]],12)-TODAY(),"")</f>
        <v>218</v>
      </c>
      <c r="X61" s="4">
        <f>COUNTIFS(tbLate[איחור בדק''/חור],"&lt;&gt;חור",tbLate[שם המאחר],tbEmploDetails[[#This Row],[שם מלא]])</f>
        <v>0</v>
      </c>
      <c r="Y61" s="4">
        <f>COUNTIFS(tbLate[איחור בדק''/חור],"חור",tbLate[שם המאחר],tbEmploDetails[[#This Row],[שם מלא]])</f>
        <v>0</v>
      </c>
      <c r="Z61" s="133" t="str">
        <f>IFERROR(AVERAGEIFS(tbLate[איחור בדק''/חור],tbLate[שם המאחר],tbEmploDetails[[#This Row],[שם מלא]]),"")</f>
        <v/>
      </c>
      <c r="AA61" s="4">
        <f ca="1">COUNTIFS(tbLate[שם המאחר],tbEmploDetails[[#This Row],[שם מלא]],tbLate[תאריך],"&gt;"&amp;months2AgoCell,tbLate[מס''דק''איחור],"&gt;0")</f>
        <v>0</v>
      </c>
      <c r="AB61" s="4">
        <f ca="1">COUNTIFS(tbLate[שם המאחר],tbEmploDetails[[#This Row],[שם מלא]],tbLate[תאריך],"&gt;"&amp;months2AgoCell,tbLate[האם חור],"&gt;0")</f>
        <v>0</v>
      </c>
      <c r="AC61" s="4">
        <f>COUNTIFS(tbPerfReview[מאבטח],tbEmploDetails[[#This Row],[שם מלא]])</f>
        <v>0</v>
      </c>
      <c r="AD61" s="133" t="str">
        <f>IFERROR(AVERAGEIFS(tbPerfReview[ציון],tbPerfReview[מאבטח],tbEmploDetails[[#This Row],[שם מלא]]),"")</f>
        <v/>
      </c>
      <c r="AE61" s="4">
        <f ca="1">COUNTIFS(tbPerfReview[תאריך],"&gt;"&amp;yearAgoCell,tbPerfReview[מאבטח],tbEmploDetails[[#This Row],[שם מלא]])</f>
        <v>0</v>
      </c>
      <c r="AF61" s="133" t="str">
        <f ca="1">IFERROR(AVERAGEIFS(tbPerfReview[ציון],tbPerfReview[מאבטח],tbEmploDetails[[#This Row],[שם מלא]],tbPerfReview[תאריך],"&gt;="&amp;yearAgoCell),"")</f>
        <v/>
      </c>
      <c r="AG61" s="4"/>
      <c r="AH61" s="4">
        <f>COUNTIFS(tbDrills[מאבטח],tbEmploDetails[[#This Row],[שם מלא]])</f>
        <v>0</v>
      </c>
      <c r="AI61" s="4" t="str">
        <f>IFERROR(AVERAGEIFS(tbDrills[ציון],tbDrills[מאבטח],tbEmploDetails[[#This Row],[שם מלא]]),"")</f>
        <v/>
      </c>
      <c r="AJ61" s="4">
        <f ca="1">COUNTIFS(tbDrills[תאריך],"&gt;"&amp;yearAgoCell,tbDrills[מאבטח],tbEmploDetails[[#This Row],[שם מלא]])</f>
        <v>0</v>
      </c>
      <c r="AK61" s="4" t="str">
        <f ca="1">IFERROR(AVERAGEIFS(tbDrills[ציון],tbDrills[מאבטח],tbEmploDetails[[#This Row],[שם מלא]],tbDrills[תאריך],"&gt;="&amp;yearAgoCell),"")</f>
        <v/>
      </c>
      <c r="AL61" t="s">
        <v>667</v>
      </c>
      <c r="AM61" s="370">
        <v>7</v>
      </c>
      <c r="AN61" s="4"/>
      <c r="AO61" s="4"/>
      <c r="AP61" s="4">
        <f>ROW()</f>
        <v>61</v>
      </c>
      <c r="AQ61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פינסקר 7 , בת ים</v>
      </c>
    </row>
    <row r="62" spans="1:43">
      <c r="A62" s="371" t="s">
        <v>451</v>
      </c>
      <c r="B62" s="371" t="s">
        <v>382</v>
      </c>
      <c r="C62" s="4" t="str">
        <f>TRIM(tbEmploDetails[[#This Row],[שם משפחה]])&amp;" "&amp;TRIM(tbEmploDetails[[#This Row],[שם פרטי]])</f>
        <v>דקל יעל</v>
      </c>
      <c r="D62" t="s">
        <v>559</v>
      </c>
      <c r="E62" t="s">
        <v>533</v>
      </c>
      <c r="F62" t="s">
        <v>621</v>
      </c>
      <c r="G62" t="str">
        <f>TRIM(tbEmploDetails[[#This Row],[כתובת - שם רחוב]]&amp;" "&amp;tbEmploDetails[[#This Row],[כתובת - מס'' רחוב]])</f>
        <v>הכרמל 45</v>
      </c>
      <c r="H62" t="s">
        <v>646</v>
      </c>
      <c r="I62" s="49" t="s">
        <v>35</v>
      </c>
      <c r="J62" s="6"/>
      <c r="L62" t="str">
        <f>TRIM(tbEmploDetails[[#This Row],[איש קשר - שם מלא]] &amp; " (" &amp; tbEmploDetails[[#This Row],[איש קשר - טיב קשר]] &amp; ")")</f>
        <v>()</v>
      </c>
      <c r="M62" s="43">
        <v>43232</v>
      </c>
      <c r="N62" s="4">
        <f ca="1">IF(tbEmploDetails[[#This Row],[תאריך תחילת תעסוקה נוכחית]],TODAY()-tbEmploDetails[[#This Row],[תאריך תחילת תעסוקה נוכחית]],"חסר מידע")</f>
        <v>2326</v>
      </c>
      <c r="O62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6 שנים, 4 חודשים</v>
      </c>
      <c r="P62" s="49" t="s">
        <v>120</v>
      </c>
      <c r="Q62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62" s="48">
        <f>MAX(_xlfn.MAXIFS(tbShetchExam[מס'' פעם], tbShetchExam[נבחן],tbEmploDetails[[#This Row],[שם מלא]]))</f>
        <v>0</v>
      </c>
      <c r="S62" t="s">
        <v>40</v>
      </c>
      <c r="T62" t="s">
        <v>42</v>
      </c>
      <c r="U62" t="s">
        <v>93</v>
      </c>
      <c r="V62" s="2">
        <v>45422</v>
      </c>
      <c r="W62" s="4">
        <f ca="1">IF(tbEmploDetails[[#This Row],[תאריך הצ'' בריאות נוכחית]],EDATE(tbEmploDetails[[#This Row],[תאריך הצ'' בריאות נוכחית]],12)-TODAY(),"")</f>
        <v>229</v>
      </c>
      <c r="X62" s="4">
        <f>COUNTIFS(tbLate[איחור בדק''/חור],"&lt;&gt;חור",tbLate[שם המאחר],tbEmploDetails[[#This Row],[שם מלא]])</f>
        <v>0</v>
      </c>
      <c r="Y62" s="4">
        <f>COUNTIFS(tbLate[איחור בדק''/חור],"חור",tbLate[שם המאחר],tbEmploDetails[[#This Row],[שם מלא]])</f>
        <v>0</v>
      </c>
      <c r="Z62" s="133" t="str">
        <f>IFERROR(AVERAGEIFS(tbLate[איחור בדק''/חור],tbLate[שם המאחר],tbEmploDetails[[#This Row],[שם מלא]]),"")</f>
        <v/>
      </c>
      <c r="AA62" s="4">
        <f ca="1">COUNTIFS(tbLate[שם המאחר],tbEmploDetails[[#This Row],[שם מלא]],tbLate[תאריך],"&gt;"&amp;months2AgoCell,tbLate[מס''דק''איחור],"&gt;0")</f>
        <v>0</v>
      </c>
      <c r="AB62" s="4">
        <f ca="1">COUNTIFS(tbLate[שם המאחר],tbEmploDetails[[#This Row],[שם מלא]],tbLate[תאריך],"&gt;"&amp;months2AgoCell,tbLate[האם חור],"&gt;0")</f>
        <v>0</v>
      </c>
      <c r="AC62" s="4">
        <f>COUNTIFS(tbPerfReview[מאבטח],tbEmploDetails[[#This Row],[שם מלא]])</f>
        <v>0</v>
      </c>
      <c r="AD62" s="133" t="str">
        <f>IFERROR(AVERAGEIFS(tbPerfReview[ציון],tbPerfReview[מאבטח],tbEmploDetails[[#This Row],[שם מלא]]),"")</f>
        <v/>
      </c>
      <c r="AE62" s="4">
        <f ca="1">COUNTIFS(tbPerfReview[תאריך],"&gt;"&amp;yearAgoCell,tbPerfReview[מאבטח],tbEmploDetails[[#This Row],[שם מלא]])</f>
        <v>0</v>
      </c>
      <c r="AF62" s="133" t="str">
        <f ca="1">IFERROR(AVERAGEIFS(tbPerfReview[ציון],tbPerfReview[מאבטח],tbEmploDetails[[#This Row],[שם מלא]],tbPerfReview[תאריך],"&gt;="&amp;yearAgoCell),"")</f>
        <v/>
      </c>
      <c r="AG62" s="4"/>
      <c r="AH62" s="4">
        <f>COUNTIFS(tbDrills[מאבטח],tbEmploDetails[[#This Row],[שם מלא]])</f>
        <v>0</v>
      </c>
      <c r="AI62" s="4" t="str">
        <f>IFERROR(AVERAGEIFS(tbDrills[ציון],tbDrills[מאבטח],tbEmploDetails[[#This Row],[שם מלא]]),"")</f>
        <v/>
      </c>
      <c r="AJ62" s="4">
        <f ca="1">COUNTIFS(tbDrills[תאריך],"&gt;"&amp;yearAgoCell,tbDrills[מאבטח],tbEmploDetails[[#This Row],[שם מלא]])</f>
        <v>0</v>
      </c>
      <c r="AK62" s="4" t="str">
        <f ca="1">IFERROR(AVERAGEIFS(tbDrills[ציון],tbDrills[מאבטח],tbEmploDetails[[#This Row],[שם מלא]],tbDrills[תאריך],"&gt;="&amp;yearAgoCell),"")</f>
        <v/>
      </c>
      <c r="AL62" t="s">
        <v>668</v>
      </c>
      <c r="AM62" s="370">
        <v>45</v>
      </c>
      <c r="AN62" s="4"/>
      <c r="AO62" s="4"/>
      <c r="AP62" s="4">
        <f>ROW()</f>
        <v>62</v>
      </c>
      <c r="AQ62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הכרמל 45 , חדרה</v>
      </c>
    </row>
    <row r="63" spans="1:43">
      <c r="A63" s="371" t="s">
        <v>452</v>
      </c>
      <c r="B63" s="371" t="s">
        <v>392</v>
      </c>
      <c r="C63" s="4" t="str">
        <f>TRIM(tbEmploDetails[[#This Row],[שם משפחה]])&amp;" "&amp;TRIM(tbEmploDetails[[#This Row],[שם פרטי]])</f>
        <v>בן חיים אלעד</v>
      </c>
      <c r="D63" t="s">
        <v>490</v>
      </c>
      <c r="E63" t="s">
        <v>554</v>
      </c>
      <c r="F63" t="s">
        <v>622</v>
      </c>
      <c r="G63" t="str">
        <f>TRIM(tbEmploDetails[[#This Row],[כתובת - שם רחוב]]&amp;" "&amp;tbEmploDetails[[#This Row],[כתובת - מס'' רחוב]])</f>
        <v>סוקולוב 28</v>
      </c>
      <c r="H63" t="s">
        <v>647</v>
      </c>
      <c r="I63" s="49" t="s">
        <v>36</v>
      </c>
      <c r="J63" s="6"/>
      <c r="L63" t="str">
        <f>TRIM(tbEmploDetails[[#This Row],[איש קשר - שם מלא]] &amp; " (" &amp; tbEmploDetails[[#This Row],[איש קשר - טיב קשר]] &amp; ")")</f>
        <v>()</v>
      </c>
      <c r="M63" s="43">
        <v>44158</v>
      </c>
      <c r="N63" s="4">
        <f ca="1">IF(tbEmploDetails[[#This Row],[תאריך תחילת תעסוקה נוכחית]],TODAY()-tbEmploDetails[[#This Row],[תאריך תחילת תעסוקה נוכחית]],"חסר מידע")</f>
        <v>1400</v>
      </c>
      <c r="O63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10 חודשים</v>
      </c>
      <c r="P63" s="49" t="s">
        <v>120</v>
      </c>
      <c r="Q63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63" s="48">
        <f>MAX(_xlfn.MAXIFS(tbShetchExam[מס'' פעם], tbShetchExam[נבחן],tbEmploDetails[[#This Row],[שם מלא]]))</f>
        <v>0</v>
      </c>
      <c r="S63" t="s">
        <v>40</v>
      </c>
      <c r="T63" t="s">
        <v>42</v>
      </c>
      <c r="U63" t="s">
        <v>93</v>
      </c>
      <c r="V63" s="2">
        <v>45461</v>
      </c>
      <c r="W63" s="4">
        <f ca="1">IF(tbEmploDetails[[#This Row],[תאריך הצ'' בריאות נוכחית]],EDATE(tbEmploDetails[[#This Row],[תאריך הצ'' בריאות נוכחית]],12)-TODAY(),"")</f>
        <v>268</v>
      </c>
      <c r="X63" s="4">
        <f>COUNTIFS(tbLate[איחור בדק''/חור],"&lt;&gt;חור",tbLate[שם המאחר],tbEmploDetails[[#This Row],[שם מלא]])</f>
        <v>0</v>
      </c>
      <c r="Y63" s="4">
        <f>COUNTIFS(tbLate[איחור בדק''/חור],"חור",tbLate[שם המאחר],tbEmploDetails[[#This Row],[שם מלא]])</f>
        <v>0</v>
      </c>
      <c r="Z63" s="133" t="str">
        <f>IFERROR(AVERAGEIFS(tbLate[איחור בדק''/חור],tbLate[שם המאחר],tbEmploDetails[[#This Row],[שם מלא]]),"")</f>
        <v/>
      </c>
      <c r="AA63" s="4">
        <f ca="1">COUNTIFS(tbLate[שם המאחר],tbEmploDetails[[#This Row],[שם מלא]],tbLate[תאריך],"&gt;"&amp;months2AgoCell,tbLate[מס''דק''איחור],"&gt;0")</f>
        <v>0</v>
      </c>
      <c r="AB63" s="4">
        <f ca="1">COUNTIFS(tbLate[שם המאחר],tbEmploDetails[[#This Row],[שם מלא]],tbLate[תאריך],"&gt;"&amp;months2AgoCell,tbLate[האם חור],"&gt;0")</f>
        <v>0</v>
      </c>
      <c r="AC63" s="4">
        <f>COUNTIFS(tbPerfReview[מאבטח],tbEmploDetails[[#This Row],[שם מלא]])</f>
        <v>0</v>
      </c>
      <c r="AD63" s="133" t="str">
        <f>IFERROR(AVERAGEIFS(tbPerfReview[ציון],tbPerfReview[מאבטח],tbEmploDetails[[#This Row],[שם מלא]]),"")</f>
        <v/>
      </c>
      <c r="AE63" s="4">
        <f ca="1">COUNTIFS(tbPerfReview[תאריך],"&gt;"&amp;yearAgoCell,tbPerfReview[מאבטח],tbEmploDetails[[#This Row],[שם מלא]])</f>
        <v>0</v>
      </c>
      <c r="AF63" s="133" t="str">
        <f ca="1">IFERROR(AVERAGEIFS(tbPerfReview[ציון],tbPerfReview[מאבטח],tbEmploDetails[[#This Row],[שם מלא]],tbPerfReview[תאריך],"&gt;="&amp;yearAgoCell),"")</f>
        <v/>
      </c>
      <c r="AG63" s="4"/>
      <c r="AH63" s="4">
        <f>COUNTIFS(tbDrills[מאבטח],tbEmploDetails[[#This Row],[שם מלא]])</f>
        <v>0</v>
      </c>
      <c r="AI63" s="4" t="str">
        <f>IFERROR(AVERAGEIFS(tbDrills[ציון],tbDrills[מאבטח],tbEmploDetails[[#This Row],[שם מלא]]),"")</f>
        <v/>
      </c>
      <c r="AJ63" s="4">
        <f ca="1">COUNTIFS(tbDrills[תאריך],"&gt;"&amp;yearAgoCell,tbDrills[מאבטח],tbEmploDetails[[#This Row],[שם מלא]])</f>
        <v>0</v>
      </c>
      <c r="AK63" s="4" t="str">
        <f ca="1">IFERROR(AVERAGEIFS(tbDrills[ציון],tbDrills[מאבטח],tbEmploDetails[[#This Row],[שם מלא]],tbDrills[תאריך],"&gt;="&amp;yearAgoCell),"")</f>
        <v/>
      </c>
      <c r="AL63" t="s">
        <v>669</v>
      </c>
      <c r="AM63" s="370">
        <v>28</v>
      </c>
      <c r="AN63" s="4"/>
      <c r="AO63" s="4"/>
      <c r="AP63" s="4">
        <f>ROW()</f>
        <v>63</v>
      </c>
      <c r="AQ63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סוקולוב 28 , רמת השרון</v>
      </c>
    </row>
    <row r="64" spans="1:43">
      <c r="A64" s="371" t="s">
        <v>453</v>
      </c>
      <c r="B64" s="371" t="s">
        <v>436</v>
      </c>
      <c r="C64" s="4" t="str">
        <f>TRIM(tbEmploDetails[[#This Row],[שם משפחה]])&amp;" "&amp;TRIM(tbEmploDetails[[#This Row],[שם פרטי]])</f>
        <v>פלג נדב</v>
      </c>
      <c r="D64" t="s">
        <v>487</v>
      </c>
      <c r="E64" t="s">
        <v>522</v>
      </c>
      <c r="F64" t="s">
        <v>623</v>
      </c>
      <c r="G64" t="str">
        <f>TRIM(tbEmploDetails[[#This Row],[כתובת - שם רחוב]]&amp;" "&amp;tbEmploDetails[[#This Row],[כתובת - מס'' רחוב]])</f>
        <v>הגליל 34</v>
      </c>
      <c r="H64" t="s">
        <v>648</v>
      </c>
      <c r="I64" s="49" t="s">
        <v>35</v>
      </c>
      <c r="J64" s="6"/>
      <c r="L64" t="str">
        <f>TRIM(tbEmploDetails[[#This Row],[איש קשר - שם מלא]] &amp; " (" &amp; tbEmploDetails[[#This Row],[איש קשר - טיב קשר]] &amp; ")")</f>
        <v>()</v>
      </c>
      <c r="M64" s="43">
        <v>42802</v>
      </c>
      <c r="N64" s="4">
        <f ca="1">IF(tbEmploDetails[[#This Row],[תאריך תחילת תעסוקה נוכחית]],TODAY()-tbEmploDetails[[#This Row],[תאריך תחילת תעסוקה נוכחית]],"חסר מידע")</f>
        <v>2756</v>
      </c>
      <c r="O64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7 שנים, 6 חודשים</v>
      </c>
      <c r="P64" s="49" t="s">
        <v>120</v>
      </c>
      <c r="Q64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64" s="48">
        <f>MAX(_xlfn.MAXIFS(tbShetchExam[מס'' פעם], tbShetchExam[נבחן],tbEmploDetails[[#This Row],[שם מלא]]))</f>
        <v>0</v>
      </c>
      <c r="S64" t="s">
        <v>40</v>
      </c>
      <c r="T64" t="s">
        <v>42</v>
      </c>
      <c r="U64" t="s">
        <v>93</v>
      </c>
      <c r="V64" s="2">
        <v>45476</v>
      </c>
      <c r="W64" s="4">
        <f ca="1">IF(tbEmploDetails[[#This Row],[תאריך הצ'' בריאות נוכחית]],EDATE(tbEmploDetails[[#This Row],[תאריך הצ'' בריאות נוכחית]],12)-TODAY(),"")</f>
        <v>283</v>
      </c>
      <c r="X64" s="4">
        <f>COUNTIFS(tbLate[איחור בדק''/חור],"&lt;&gt;חור",tbLate[שם המאחר],tbEmploDetails[[#This Row],[שם מלא]])</f>
        <v>0</v>
      </c>
      <c r="Y64" s="4">
        <f>COUNTIFS(tbLate[איחור בדק''/חור],"חור",tbLate[שם המאחר],tbEmploDetails[[#This Row],[שם מלא]])</f>
        <v>0</v>
      </c>
      <c r="Z64" s="133" t="str">
        <f>IFERROR(AVERAGEIFS(tbLate[איחור בדק''/חור],tbLate[שם המאחר],tbEmploDetails[[#This Row],[שם מלא]]),"")</f>
        <v/>
      </c>
      <c r="AA64" s="4">
        <f ca="1">COUNTIFS(tbLate[שם המאחר],tbEmploDetails[[#This Row],[שם מלא]],tbLate[תאריך],"&gt;"&amp;months2AgoCell,tbLate[מס''דק''איחור],"&gt;0")</f>
        <v>0</v>
      </c>
      <c r="AB64" s="4">
        <f ca="1">COUNTIFS(tbLate[שם המאחר],tbEmploDetails[[#This Row],[שם מלא]],tbLate[תאריך],"&gt;"&amp;months2AgoCell,tbLate[האם חור],"&gt;0")</f>
        <v>0</v>
      </c>
      <c r="AC64" s="4">
        <f>COUNTIFS(tbPerfReview[מאבטח],tbEmploDetails[[#This Row],[שם מלא]])</f>
        <v>0</v>
      </c>
      <c r="AD64" s="133" t="str">
        <f>IFERROR(AVERAGEIFS(tbPerfReview[ציון],tbPerfReview[מאבטח],tbEmploDetails[[#This Row],[שם מלא]]),"")</f>
        <v/>
      </c>
      <c r="AE64" s="4">
        <f ca="1">COUNTIFS(tbPerfReview[תאריך],"&gt;"&amp;yearAgoCell,tbPerfReview[מאבטח],tbEmploDetails[[#This Row],[שם מלא]])</f>
        <v>0</v>
      </c>
      <c r="AF64" s="133" t="str">
        <f ca="1">IFERROR(AVERAGEIFS(tbPerfReview[ציון],tbPerfReview[מאבטח],tbEmploDetails[[#This Row],[שם מלא]],tbPerfReview[תאריך],"&gt;="&amp;yearAgoCell),"")</f>
        <v/>
      </c>
      <c r="AG64" s="4"/>
      <c r="AH64" s="4">
        <f>COUNTIFS(tbDrills[מאבטח],tbEmploDetails[[#This Row],[שם מלא]])</f>
        <v>0</v>
      </c>
      <c r="AI64" s="4" t="str">
        <f>IFERROR(AVERAGEIFS(tbDrills[ציון],tbDrills[מאבטח],tbEmploDetails[[#This Row],[שם מלא]]),"")</f>
        <v/>
      </c>
      <c r="AJ64" s="4">
        <f ca="1">COUNTIFS(tbDrills[תאריך],"&gt;"&amp;yearAgoCell,tbDrills[מאבטח],tbEmploDetails[[#This Row],[שם מלא]])</f>
        <v>0</v>
      </c>
      <c r="AK64" s="4" t="str">
        <f ca="1">IFERROR(AVERAGEIFS(tbDrills[ציון],tbDrills[מאבטח],tbEmploDetails[[#This Row],[שם מלא]],tbDrills[תאריך],"&gt;="&amp;yearAgoCell),"")</f>
        <v/>
      </c>
      <c r="AL64" t="s">
        <v>670</v>
      </c>
      <c r="AM64" s="370">
        <v>34</v>
      </c>
      <c r="AN64" s="4"/>
      <c r="AO64" s="4"/>
      <c r="AP64" s="4">
        <f>ROW()</f>
        <v>64</v>
      </c>
      <c r="AQ64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הגליל 34 , כפר יונה</v>
      </c>
    </row>
    <row r="65" spans="1:43">
      <c r="A65" s="371" t="s">
        <v>454</v>
      </c>
      <c r="B65" s="371" t="s">
        <v>107</v>
      </c>
      <c r="C65" s="4" t="str">
        <f>TRIM(tbEmploDetails[[#This Row],[שם משפחה]])&amp;" "&amp;TRIM(tbEmploDetails[[#This Row],[שם פרטי]])</f>
        <v>הראל דניאל</v>
      </c>
      <c r="D65" t="s">
        <v>556</v>
      </c>
      <c r="E65" t="s">
        <v>180</v>
      </c>
      <c r="F65" t="s">
        <v>624</v>
      </c>
      <c r="G65" t="str">
        <f>TRIM(tbEmploDetails[[#This Row],[כתובת - שם רחוב]]&amp;" "&amp;tbEmploDetails[[#This Row],[כתובת - מס'' רחוב]])</f>
        <v>הנביאים 15</v>
      </c>
      <c r="H65" t="s">
        <v>632</v>
      </c>
      <c r="I65" s="49" t="s">
        <v>35</v>
      </c>
      <c r="J65" s="6"/>
      <c r="L65" t="str">
        <f>TRIM(tbEmploDetails[[#This Row],[איש קשר - שם מלא]] &amp; " (" &amp; tbEmploDetails[[#This Row],[איש קשר - טיב קשר]] &amp; ")")</f>
        <v>()</v>
      </c>
      <c r="M65" s="43">
        <v>44392</v>
      </c>
      <c r="N65" s="4">
        <f ca="1">IF(tbEmploDetails[[#This Row],[תאריך תחילת תעסוקה נוכחית]],TODAY()-tbEmploDetails[[#This Row],[תאריך תחילת תעסוקה נוכחית]],"חסר מידע")</f>
        <v>1166</v>
      </c>
      <c r="O65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3 שנים, 2 חודשים</v>
      </c>
      <c r="P65" s="49" t="s">
        <v>120</v>
      </c>
      <c r="Q65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65" s="48">
        <f>MAX(_xlfn.MAXIFS(tbShetchExam[מס'' פעם], tbShetchExam[נבחן],tbEmploDetails[[#This Row],[שם מלא]]))</f>
        <v>0</v>
      </c>
      <c r="S65" t="s">
        <v>41</v>
      </c>
      <c r="T65" t="s">
        <v>43</v>
      </c>
      <c r="U65" t="s">
        <v>93</v>
      </c>
      <c r="V65" s="2">
        <v>45529</v>
      </c>
      <c r="W65" s="4">
        <f ca="1">IF(tbEmploDetails[[#This Row],[תאריך הצ'' בריאות נוכחית]],EDATE(tbEmploDetails[[#This Row],[תאריך הצ'' בריאות נוכחית]],12)-TODAY(),"")</f>
        <v>336</v>
      </c>
      <c r="X65" s="4">
        <f>COUNTIFS(tbLate[איחור בדק''/חור],"&lt;&gt;חור",tbLate[שם המאחר],tbEmploDetails[[#This Row],[שם מלא]])</f>
        <v>1</v>
      </c>
      <c r="Y65" s="4">
        <f>COUNTIFS(tbLate[איחור בדק''/חור],"חור",tbLate[שם המאחר],tbEmploDetails[[#This Row],[שם מלא]])</f>
        <v>0</v>
      </c>
      <c r="Z65" s="133">
        <f>IFERROR(AVERAGEIFS(tbLate[איחור בדק''/חור],tbLate[שם המאחר],tbEmploDetails[[#This Row],[שם מלא]]),"")</f>
        <v>13</v>
      </c>
      <c r="AA65" s="4">
        <f ca="1">COUNTIFS(tbLate[שם המאחר],tbEmploDetails[[#This Row],[שם מלא]],tbLate[תאריך],"&gt;"&amp;months2AgoCell,tbLate[מס''דק''איחור],"&gt;0")</f>
        <v>1</v>
      </c>
      <c r="AB65" s="4">
        <f ca="1">COUNTIFS(tbLate[שם המאחר],tbEmploDetails[[#This Row],[שם מלא]],tbLate[תאריך],"&gt;"&amp;months2AgoCell,tbLate[האם חור],"&gt;0")</f>
        <v>0</v>
      </c>
      <c r="AC65" s="4">
        <f>COUNTIFS(tbPerfReview[מאבטח],tbEmploDetails[[#This Row],[שם מלא]])</f>
        <v>0</v>
      </c>
      <c r="AD65" s="133" t="str">
        <f>IFERROR(AVERAGEIFS(tbPerfReview[ציון],tbPerfReview[מאבטח],tbEmploDetails[[#This Row],[שם מלא]]),"")</f>
        <v/>
      </c>
      <c r="AE65" s="4">
        <f ca="1">COUNTIFS(tbPerfReview[תאריך],"&gt;"&amp;yearAgoCell,tbPerfReview[מאבטח],tbEmploDetails[[#This Row],[שם מלא]])</f>
        <v>0</v>
      </c>
      <c r="AF65" s="133" t="str">
        <f ca="1">IFERROR(AVERAGEIFS(tbPerfReview[ציון],tbPerfReview[מאבטח],tbEmploDetails[[#This Row],[שם מלא]],tbPerfReview[תאריך],"&gt;="&amp;yearAgoCell),"")</f>
        <v/>
      </c>
      <c r="AG65" s="4"/>
      <c r="AH65" s="4">
        <f>COUNTIFS(tbDrills[מאבטח],tbEmploDetails[[#This Row],[שם מלא]])</f>
        <v>0</v>
      </c>
      <c r="AI65" s="4" t="str">
        <f>IFERROR(AVERAGEIFS(tbDrills[ציון],tbDrills[מאבטח],tbEmploDetails[[#This Row],[שם מלא]]),"")</f>
        <v/>
      </c>
      <c r="AJ65" s="4">
        <f ca="1">COUNTIFS(tbDrills[תאריך],"&gt;"&amp;yearAgoCell,tbDrills[מאבטח],tbEmploDetails[[#This Row],[שם מלא]])</f>
        <v>0</v>
      </c>
      <c r="AK65" s="4" t="str">
        <f ca="1">IFERROR(AVERAGEIFS(tbDrills[ציון],tbDrills[מאבטח],tbEmploDetails[[#This Row],[שם מלא]],tbDrills[תאריך],"&gt;="&amp;yearAgoCell),"")</f>
        <v/>
      </c>
      <c r="AL65" t="s">
        <v>671</v>
      </c>
      <c r="AM65" s="370">
        <v>15</v>
      </c>
      <c r="AN65" s="4"/>
      <c r="AO65" s="4"/>
      <c r="AP65" s="4">
        <f>ROW()</f>
        <v>65</v>
      </c>
      <c r="AQ65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הנביאים 15 , ירושלים</v>
      </c>
    </row>
    <row r="66" spans="1:43">
      <c r="A66" s="371" t="s">
        <v>455</v>
      </c>
      <c r="B66" s="371" t="s">
        <v>110</v>
      </c>
      <c r="C66" s="4" t="str">
        <f>TRIM(tbEmploDetails[[#This Row],[שם משפחה]])&amp;" "&amp;TRIM(tbEmploDetails[[#This Row],[שם פרטי]])</f>
        <v>רימון נועה</v>
      </c>
      <c r="D66" t="s">
        <v>557</v>
      </c>
      <c r="E66" t="s">
        <v>523</v>
      </c>
      <c r="F66" t="s">
        <v>625</v>
      </c>
      <c r="G66" t="str">
        <f>TRIM(tbEmploDetails[[#This Row],[כתובת - שם רחוב]]&amp;" "&amp;tbEmploDetails[[#This Row],[כתובת - מס'' רחוב]])</f>
        <v>יהודה המכבי 52</v>
      </c>
      <c r="H66" t="s">
        <v>630</v>
      </c>
      <c r="I66" s="49" t="s">
        <v>36</v>
      </c>
      <c r="J66" s="6"/>
      <c r="L66" t="str">
        <f>TRIM(tbEmploDetails[[#This Row],[איש קשר - שם מלא]] &amp; " (" &amp; tbEmploDetails[[#This Row],[איש קשר - טיב קשר]] &amp; ")")</f>
        <v>()</v>
      </c>
      <c r="M66" s="43">
        <v>42307</v>
      </c>
      <c r="N66" s="4">
        <f ca="1">IF(tbEmploDetails[[#This Row],[תאריך תחילת תעסוקה נוכחית]],TODAY()-tbEmploDetails[[#This Row],[תאריך תחילת תעסוקה נוכחית]],"חסר מידע")</f>
        <v>3251</v>
      </c>
      <c r="O66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10 חודשים</v>
      </c>
      <c r="P66" s="49" t="s">
        <v>120</v>
      </c>
      <c r="Q66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66" s="48">
        <f>MAX(_xlfn.MAXIFS(tbShetchExam[מס'' פעם], tbShetchExam[נבחן],tbEmploDetails[[#This Row],[שם מלא]]))</f>
        <v>0</v>
      </c>
      <c r="S66" t="s">
        <v>40</v>
      </c>
      <c r="T66" t="s">
        <v>42</v>
      </c>
      <c r="U66" t="s">
        <v>93</v>
      </c>
      <c r="V66" s="2">
        <v>45476</v>
      </c>
      <c r="W66" s="4">
        <f ca="1">IF(tbEmploDetails[[#This Row],[תאריך הצ'' בריאות נוכחית]],EDATE(tbEmploDetails[[#This Row],[תאריך הצ'' בריאות נוכחית]],12)-TODAY(),"")</f>
        <v>283</v>
      </c>
      <c r="X66" s="4">
        <f>COUNTIFS(tbLate[איחור בדק''/חור],"&lt;&gt;חור",tbLate[שם המאחר],tbEmploDetails[[#This Row],[שם מלא]])</f>
        <v>0</v>
      </c>
      <c r="Y66" s="4">
        <f>COUNTIFS(tbLate[איחור בדק''/חור],"חור",tbLate[שם המאחר],tbEmploDetails[[#This Row],[שם מלא]])</f>
        <v>0</v>
      </c>
      <c r="Z66" s="133" t="str">
        <f>IFERROR(AVERAGEIFS(tbLate[איחור בדק''/חור],tbLate[שם המאחר],tbEmploDetails[[#This Row],[שם מלא]]),"")</f>
        <v/>
      </c>
      <c r="AA66" s="4">
        <f ca="1">COUNTIFS(tbLate[שם המאחר],tbEmploDetails[[#This Row],[שם מלא]],tbLate[תאריך],"&gt;"&amp;months2AgoCell,tbLate[מס''דק''איחור],"&gt;0")</f>
        <v>0</v>
      </c>
      <c r="AB66" s="4">
        <f ca="1">COUNTIFS(tbLate[שם המאחר],tbEmploDetails[[#This Row],[שם מלא]],tbLate[תאריך],"&gt;"&amp;months2AgoCell,tbLate[האם חור],"&gt;0")</f>
        <v>0</v>
      </c>
      <c r="AC66" s="4">
        <f>COUNTIFS(tbPerfReview[מאבטח],tbEmploDetails[[#This Row],[שם מלא]])</f>
        <v>0</v>
      </c>
      <c r="AD66" s="133" t="str">
        <f>IFERROR(AVERAGEIFS(tbPerfReview[ציון],tbPerfReview[מאבטח],tbEmploDetails[[#This Row],[שם מלא]]),"")</f>
        <v/>
      </c>
      <c r="AE66" s="4">
        <f ca="1">COUNTIFS(tbPerfReview[תאריך],"&gt;"&amp;yearAgoCell,tbPerfReview[מאבטח],tbEmploDetails[[#This Row],[שם מלא]])</f>
        <v>0</v>
      </c>
      <c r="AF66" s="133" t="str">
        <f ca="1">IFERROR(AVERAGEIFS(tbPerfReview[ציון],tbPerfReview[מאבטח],tbEmploDetails[[#This Row],[שם מלא]],tbPerfReview[תאריך],"&gt;="&amp;yearAgoCell),"")</f>
        <v/>
      </c>
      <c r="AG66" s="4"/>
      <c r="AH66" s="4">
        <f>COUNTIFS(tbDrills[מאבטח],tbEmploDetails[[#This Row],[שם מלא]])</f>
        <v>0</v>
      </c>
      <c r="AI66" s="4" t="str">
        <f>IFERROR(AVERAGEIFS(tbDrills[ציון],tbDrills[מאבטח],tbEmploDetails[[#This Row],[שם מלא]]),"")</f>
        <v/>
      </c>
      <c r="AJ66" s="4">
        <f ca="1">COUNTIFS(tbDrills[תאריך],"&gt;"&amp;yearAgoCell,tbDrills[מאבטח],tbEmploDetails[[#This Row],[שם מלא]])</f>
        <v>0</v>
      </c>
      <c r="AK66" s="4" t="str">
        <f ca="1">IFERROR(AVERAGEIFS(tbDrills[ציון],tbDrills[מאבטח],tbEmploDetails[[#This Row],[שם מלא]],tbDrills[תאריך],"&gt;="&amp;yearAgoCell),"")</f>
        <v/>
      </c>
      <c r="AL66" t="s">
        <v>672</v>
      </c>
      <c r="AM66" s="370">
        <v>52</v>
      </c>
      <c r="AN66" s="4"/>
      <c r="AO66" s="4"/>
      <c r="AP66" s="4">
        <f>ROW()</f>
        <v>66</v>
      </c>
      <c r="AQ66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יהודה המכבי 52 , תל אביב</v>
      </c>
    </row>
    <row r="67" spans="1:43">
      <c r="A67" s="371" t="s">
        <v>456</v>
      </c>
      <c r="B67" s="371" t="s">
        <v>457</v>
      </c>
      <c r="C67" s="4" t="str">
        <f>TRIM(tbEmploDetails[[#This Row],[שם משפחה]])&amp;" "&amp;TRIM(tbEmploDetails[[#This Row],[שם פרטי]])</f>
        <v>מור ניר</v>
      </c>
      <c r="D67" t="s">
        <v>560</v>
      </c>
      <c r="E67" t="s">
        <v>521</v>
      </c>
      <c r="F67" t="s">
        <v>626</v>
      </c>
      <c r="G67" t="str">
        <f>TRIM(tbEmploDetails[[#This Row],[כתובת - שם רחוב]]&amp;" "&amp;tbEmploDetails[[#This Row],[כתובת - מס'' רחוב]])</f>
        <v>החשמונאים 44</v>
      </c>
      <c r="H67" t="s">
        <v>637</v>
      </c>
      <c r="I67" s="49" t="s">
        <v>35</v>
      </c>
      <c r="J67" s="6"/>
      <c r="L67" t="str">
        <f>TRIM(tbEmploDetails[[#This Row],[איש קשר - שם מלא]] &amp; " (" &amp; tbEmploDetails[[#This Row],[איש קשר - טיב קשר]] &amp; ")")</f>
        <v>()</v>
      </c>
      <c r="M67" s="43">
        <v>42388</v>
      </c>
      <c r="N67" s="4">
        <f ca="1">IF(tbEmploDetails[[#This Row],[תאריך תחילת תעסוקה נוכחית]],TODAY()-tbEmploDetails[[#This Row],[תאריך תחילת תעסוקה נוכחית]],"חסר מידע")</f>
        <v>3170</v>
      </c>
      <c r="O67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8 שנים, 8 חודשים</v>
      </c>
      <c r="P67" s="49" t="s">
        <v>120</v>
      </c>
      <c r="Q67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67" s="48">
        <f>MAX(_xlfn.MAXIFS(tbShetchExam[מס'' פעם], tbShetchExam[נבחן],tbEmploDetails[[#This Row],[שם מלא]]))</f>
        <v>0</v>
      </c>
      <c r="S67" t="s">
        <v>40</v>
      </c>
      <c r="T67" t="s">
        <v>42</v>
      </c>
      <c r="U67" t="s">
        <v>93</v>
      </c>
      <c r="V67" s="2">
        <v>45529</v>
      </c>
      <c r="W67" s="4">
        <f ca="1">IF(tbEmploDetails[[#This Row],[תאריך הצ'' בריאות נוכחית]],EDATE(tbEmploDetails[[#This Row],[תאריך הצ'' בריאות נוכחית]],12)-TODAY(),"")</f>
        <v>336</v>
      </c>
      <c r="X67" s="4">
        <f>COUNTIFS(tbLate[איחור בדק''/חור],"&lt;&gt;חור",tbLate[שם המאחר],tbEmploDetails[[#This Row],[שם מלא]])</f>
        <v>0</v>
      </c>
      <c r="Y67" s="4">
        <f>COUNTIFS(tbLate[איחור בדק''/חור],"חור",tbLate[שם המאחר],tbEmploDetails[[#This Row],[שם מלא]])</f>
        <v>0</v>
      </c>
      <c r="Z67" s="133" t="str">
        <f>IFERROR(AVERAGEIFS(tbLate[איחור בדק''/חור],tbLate[שם המאחר],tbEmploDetails[[#This Row],[שם מלא]]),"")</f>
        <v/>
      </c>
      <c r="AA67" s="4">
        <f ca="1">COUNTIFS(tbLate[שם המאחר],tbEmploDetails[[#This Row],[שם מלא]],tbLate[תאריך],"&gt;"&amp;months2AgoCell,tbLate[מס''דק''איחור],"&gt;0")</f>
        <v>0</v>
      </c>
      <c r="AB67" s="4">
        <f ca="1">COUNTIFS(tbLate[שם המאחר],tbEmploDetails[[#This Row],[שם מלא]],tbLate[תאריך],"&gt;"&amp;months2AgoCell,tbLate[האם חור],"&gt;0")</f>
        <v>0</v>
      </c>
      <c r="AC67" s="4">
        <f>COUNTIFS(tbPerfReview[מאבטח],tbEmploDetails[[#This Row],[שם מלא]])</f>
        <v>0</v>
      </c>
      <c r="AD67" s="133" t="str">
        <f>IFERROR(AVERAGEIFS(tbPerfReview[ציון],tbPerfReview[מאבטח],tbEmploDetails[[#This Row],[שם מלא]]),"")</f>
        <v/>
      </c>
      <c r="AE67" s="4">
        <f ca="1">COUNTIFS(tbPerfReview[תאריך],"&gt;"&amp;yearAgoCell,tbPerfReview[מאבטח],tbEmploDetails[[#This Row],[שם מלא]])</f>
        <v>0</v>
      </c>
      <c r="AF67" s="133" t="str">
        <f ca="1">IFERROR(AVERAGEIFS(tbPerfReview[ציון],tbPerfReview[מאבטח],tbEmploDetails[[#This Row],[שם מלא]],tbPerfReview[תאריך],"&gt;="&amp;yearAgoCell),"")</f>
        <v/>
      </c>
      <c r="AG67" s="4"/>
      <c r="AH67" s="4">
        <f>COUNTIFS(tbDrills[מאבטח],tbEmploDetails[[#This Row],[שם מלא]])</f>
        <v>0</v>
      </c>
      <c r="AI67" s="4" t="str">
        <f>IFERROR(AVERAGEIFS(tbDrills[ציון],tbDrills[מאבטח],tbEmploDetails[[#This Row],[שם מלא]]),"")</f>
        <v/>
      </c>
      <c r="AJ67" s="4">
        <f ca="1">COUNTIFS(tbDrills[תאריך],"&gt;"&amp;yearAgoCell,tbDrills[מאבטח],tbEmploDetails[[#This Row],[שם מלא]])</f>
        <v>0</v>
      </c>
      <c r="AK67" s="4" t="str">
        <f ca="1">IFERROR(AVERAGEIFS(tbDrills[ציון],tbDrills[מאבטח],tbEmploDetails[[#This Row],[שם מלא]],tbDrills[תאריך],"&gt;="&amp;yearAgoCell),"")</f>
        <v/>
      </c>
      <c r="AL67" t="s">
        <v>673</v>
      </c>
      <c r="AM67" s="370">
        <v>44</v>
      </c>
      <c r="AN67" s="4"/>
      <c r="AO67" s="4"/>
      <c r="AP67" s="4">
        <f>ROW()</f>
        <v>67</v>
      </c>
      <c r="AQ67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החשמונאים 44 , פתח תקווה</v>
      </c>
    </row>
    <row r="68" spans="1:43">
      <c r="A68" s="371" t="s">
        <v>115</v>
      </c>
      <c r="B68" s="371" t="s">
        <v>390</v>
      </c>
      <c r="C68" s="4" t="str">
        <f>TRIM(tbEmploDetails[[#This Row],[שם משפחה]])&amp;" "&amp;TRIM(tbEmploDetails[[#This Row],[שם פרטי]])</f>
        <v>פרץ תמר</v>
      </c>
      <c r="D68" t="s">
        <v>559</v>
      </c>
      <c r="E68" t="s">
        <v>555</v>
      </c>
      <c r="F68" t="s">
        <v>627</v>
      </c>
      <c r="G68" t="str">
        <f>TRIM(tbEmploDetails[[#This Row],[כתובת - שם רחוב]]&amp;" "&amp;tbEmploDetails[[#This Row],[כתובת - מס'' רחוב]])</f>
        <v>הנשיא ויצמן 10</v>
      </c>
      <c r="H68" t="s">
        <v>634</v>
      </c>
      <c r="I68" s="49" t="s">
        <v>35</v>
      </c>
      <c r="J68" s="6"/>
      <c r="L68" t="str">
        <f>TRIM(tbEmploDetails[[#This Row],[איש קשר - שם מלא]] &amp; " (" &amp; tbEmploDetails[[#This Row],[איש קשר - טיב קשר]] &amp; ")")</f>
        <v>()</v>
      </c>
      <c r="M68" s="43">
        <v>43711</v>
      </c>
      <c r="N68" s="4">
        <f ca="1">IF(tbEmploDetails[[#This Row],[תאריך תחילת תעסוקה נוכחית]],TODAY()-tbEmploDetails[[#This Row],[תאריך תחילת תעסוקה נוכחית]],"חסר מידע")</f>
        <v>1847</v>
      </c>
      <c r="O68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5 שנים, 15 ימים</v>
      </c>
      <c r="P68" s="49" t="s">
        <v>120</v>
      </c>
      <c r="Q68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68" s="48">
        <f>MAX(_xlfn.MAXIFS(tbShetchExam[מס'' פעם], tbShetchExam[נבחן],tbEmploDetails[[#This Row],[שם מלא]]))</f>
        <v>0</v>
      </c>
      <c r="S68" t="s">
        <v>40</v>
      </c>
      <c r="T68" t="s">
        <v>42</v>
      </c>
      <c r="U68" t="s">
        <v>93</v>
      </c>
      <c r="V68" s="2">
        <v>45571</v>
      </c>
      <c r="W68" s="4">
        <f ca="1">IF(tbEmploDetails[[#This Row],[תאריך הצ'' בריאות נוכחית]],EDATE(tbEmploDetails[[#This Row],[תאריך הצ'' בריאות נוכחית]],12)-TODAY(),"")</f>
        <v>378</v>
      </c>
      <c r="X68" s="4">
        <f>COUNTIFS(tbLate[איחור בדק''/חור],"&lt;&gt;חור",tbLate[שם המאחר],tbEmploDetails[[#This Row],[שם מלא]])</f>
        <v>0</v>
      </c>
      <c r="Y68" s="4">
        <f>COUNTIFS(tbLate[איחור בדק''/חור],"חור",tbLate[שם המאחר],tbEmploDetails[[#This Row],[שם מלא]])</f>
        <v>0</v>
      </c>
      <c r="Z68" s="133" t="str">
        <f>IFERROR(AVERAGEIFS(tbLate[איחור בדק''/חור],tbLate[שם המאחר],tbEmploDetails[[#This Row],[שם מלא]]),"")</f>
        <v/>
      </c>
      <c r="AA68" s="4">
        <f ca="1">COUNTIFS(tbLate[שם המאחר],tbEmploDetails[[#This Row],[שם מלא]],tbLate[תאריך],"&gt;"&amp;months2AgoCell,tbLate[מס''דק''איחור],"&gt;0")</f>
        <v>0</v>
      </c>
      <c r="AB68" s="4">
        <f ca="1">COUNTIFS(tbLate[שם המאחר],tbEmploDetails[[#This Row],[שם מלא]],tbLate[תאריך],"&gt;"&amp;months2AgoCell,tbLate[האם חור],"&gt;0")</f>
        <v>0</v>
      </c>
      <c r="AC68" s="4">
        <f>COUNTIFS(tbPerfReview[מאבטח],tbEmploDetails[[#This Row],[שם מלא]])</f>
        <v>0</v>
      </c>
      <c r="AD68" s="133" t="str">
        <f>IFERROR(AVERAGEIFS(tbPerfReview[ציון],tbPerfReview[מאבטח],tbEmploDetails[[#This Row],[שם מלא]]),"")</f>
        <v/>
      </c>
      <c r="AE68" s="4">
        <f ca="1">COUNTIFS(tbPerfReview[תאריך],"&gt;"&amp;yearAgoCell,tbPerfReview[מאבטח],tbEmploDetails[[#This Row],[שם מלא]])</f>
        <v>0</v>
      </c>
      <c r="AF68" s="133" t="str">
        <f ca="1">IFERROR(AVERAGEIFS(tbPerfReview[ציון],tbPerfReview[מאבטח],tbEmploDetails[[#This Row],[שם מלא]],tbPerfReview[תאריך],"&gt;="&amp;yearAgoCell),"")</f>
        <v/>
      </c>
      <c r="AG68" s="4"/>
      <c r="AH68" s="4">
        <f>COUNTIFS(tbDrills[מאבטח],tbEmploDetails[[#This Row],[שם מלא]])</f>
        <v>0</v>
      </c>
      <c r="AI68" s="4" t="str">
        <f>IFERROR(AVERAGEIFS(tbDrills[ציון],tbDrills[מאבטח],tbEmploDetails[[#This Row],[שם מלא]]),"")</f>
        <v/>
      </c>
      <c r="AJ68" s="4">
        <f ca="1">COUNTIFS(tbDrills[תאריך],"&gt;"&amp;yearAgoCell,tbDrills[מאבטח],tbEmploDetails[[#This Row],[שם מלא]])</f>
        <v>0</v>
      </c>
      <c r="AK68" s="4" t="str">
        <f ca="1">IFERROR(AVERAGEIFS(tbDrills[ציון],tbDrills[מאבטח],tbEmploDetails[[#This Row],[שם מלא]],tbDrills[תאריך],"&gt;="&amp;yearAgoCell),"")</f>
        <v/>
      </c>
      <c r="AL68" t="s">
        <v>674</v>
      </c>
      <c r="AM68" s="370">
        <v>10</v>
      </c>
      <c r="AN68" s="4"/>
      <c r="AO68" s="4"/>
      <c r="AP68" s="4">
        <f>ROW()</f>
        <v>68</v>
      </c>
      <c r="AQ68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הנשיא ויצמן 10 , כפר סבא</v>
      </c>
    </row>
    <row r="69" spans="1:43">
      <c r="A69" s="371" t="s">
        <v>458</v>
      </c>
      <c r="B69" s="371" t="s">
        <v>402</v>
      </c>
      <c r="C69" s="4" t="str">
        <f>TRIM(tbEmploDetails[[#This Row],[שם משפחה]])&amp;" "&amp;TRIM(tbEmploDetails[[#This Row],[שם פרטי]])</f>
        <v>כץ יואב</v>
      </c>
      <c r="D69" t="s">
        <v>471</v>
      </c>
      <c r="E69" t="s">
        <v>549</v>
      </c>
      <c r="F69" t="s">
        <v>628</v>
      </c>
      <c r="G69" t="str">
        <f>TRIM(tbEmploDetails[[#This Row],[כתובת - שם רחוב]]&amp;" "&amp;tbEmploDetails[[#This Row],[כתובת - מס'' רחוב]])</f>
        <v>המגינים 17</v>
      </c>
      <c r="H69" t="s">
        <v>631</v>
      </c>
      <c r="I69" s="49" t="s">
        <v>36</v>
      </c>
      <c r="J69" s="6"/>
      <c r="L69" t="str">
        <f>TRIM(tbEmploDetails[[#This Row],[איש קשר - שם מלא]] &amp; " (" &amp; tbEmploDetails[[#This Row],[איש קשר - טיב קשר]] &amp; ")")</f>
        <v>()</v>
      </c>
      <c r="M69" s="43">
        <v>41754</v>
      </c>
      <c r="N69" s="4">
        <f ca="1">IF(tbEmploDetails[[#This Row],[תאריך תחילת תעסוקה נוכחית]],TODAY()-tbEmploDetails[[#This Row],[תאריך תחילת תעסוקה נוכחית]],"חסר מידע")</f>
        <v>3804</v>
      </c>
      <c r="O69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10 שנים, 4 חודשים</v>
      </c>
      <c r="P69" s="49" t="s">
        <v>120</v>
      </c>
      <c r="Q69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69" s="48">
        <f>MAX(_xlfn.MAXIFS(tbShetchExam[מס'' פעם], tbShetchExam[נבחן],tbEmploDetails[[#This Row],[שם מלא]]))</f>
        <v>0</v>
      </c>
      <c r="S69" t="s">
        <v>41</v>
      </c>
      <c r="T69" t="s">
        <v>43</v>
      </c>
      <c r="U69" t="s">
        <v>93</v>
      </c>
      <c r="V69" s="2">
        <v>45610</v>
      </c>
      <c r="W69" s="4">
        <f ca="1">IF(tbEmploDetails[[#This Row],[תאריך הצ'' בריאות נוכחית]],EDATE(tbEmploDetails[[#This Row],[תאריך הצ'' בריאות נוכחית]],12)-TODAY(),"")</f>
        <v>417</v>
      </c>
      <c r="X69" s="4">
        <f>COUNTIFS(tbLate[איחור בדק''/חור],"&lt;&gt;חור",tbLate[שם המאחר],tbEmploDetails[[#This Row],[שם מלא]])</f>
        <v>0</v>
      </c>
      <c r="Y69" s="4">
        <f>COUNTIFS(tbLate[איחור בדק''/חור],"חור",tbLate[שם המאחר],tbEmploDetails[[#This Row],[שם מלא]])</f>
        <v>0</v>
      </c>
      <c r="Z69" s="133" t="str">
        <f>IFERROR(AVERAGEIFS(tbLate[איחור בדק''/חור],tbLate[שם המאחר],tbEmploDetails[[#This Row],[שם מלא]]),"")</f>
        <v/>
      </c>
      <c r="AA69" s="4">
        <f ca="1">COUNTIFS(tbLate[שם המאחר],tbEmploDetails[[#This Row],[שם מלא]],tbLate[תאריך],"&gt;"&amp;months2AgoCell,tbLate[מס''דק''איחור],"&gt;0")</f>
        <v>0</v>
      </c>
      <c r="AB69" s="4">
        <f ca="1">COUNTIFS(tbLate[שם המאחר],tbEmploDetails[[#This Row],[שם מלא]],tbLate[תאריך],"&gt;"&amp;months2AgoCell,tbLate[האם חור],"&gt;0")</f>
        <v>0</v>
      </c>
      <c r="AC69" s="4">
        <f>COUNTIFS(tbPerfReview[מאבטח],tbEmploDetails[[#This Row],[שם מלא]])</f>
        <v>0</v>
      </c>
      <c r="AD69" s="133" t="str">
        <f>IFERROR(AVERAGEIFS(tbPerfReview[ציון],tbPerfReview[מאבטח],tbEmploDetails[[#This Row],[שם מלא]]),"")</f>
        <v/>
      </c>
      <c r="AE69" s="4">
        <f ca="1">COUNTIFS(tbPerfReview[תאריך],"&gt;"&amp;yearAgoCell,tbPerfReview[מאבטח],tbEmploDetails[[#This Row],[שם מלא]])</f>
        <v>0</v>
      </c>
      <c r="AF69" s="133" t="str">
        <f ca="1">IFERROR(AVERAGEIFS(tbPerfReview[ציון],tbPerfReview[מאבטח],tbEmploDetails[[#This Row],[שם מלא]],tbPerfReview[תאריך],"&gt;="&amp;yearAgoCell),"")</f>
        <v/>
      </c>
      <c r="AG69" s="4"/>
      <c r="AH69" s="4">
        <f>COUNTIFS(tbDrills[מאבטח],tbEmploDetails[[#This Row],[שם מלא]])</f>
        <v>0</v>
      </c>
      <c r="AI69" s="4" t="str">
        <f>IFERROR(AVERAGEIFS(tbDrills[ציון],tbDrills[מאבטח],tbEmploDetails[[#This Row],[שם מלא]]),"")</f>
        <v/>
      </c>
      <c r="AJ69" s="4">
        <f ca="1">COUNTIFS(tbDrills[תאריך],"&gt;"&amp;yearAgoCell,tbDrills[מאבטח],tbEmploDetails[[#This Row],[שם מלא]])</f>
        <v>0</v>
      </c>
      <c r="AK69" s="4" t="str">
        <f ca="1">IFERROR(AVERAGEIFS(tbDrills[ציון],tbDrills[מאבטח],tbEmploDetails[[#This Row],[שם מלא]],tbDrills[תאריך],"&gt;="&amp;yearAgoCell),"")</f>
        <v/>
      </c>
      <c r="AL69" t="s">
        <v>675</v>
      </c>
      <c r="AM69" s="370">
        <v>17</v>
      </c>
      <c r="AN69" s="4"/>
      <c r="AO69" s="4"/>
      <c r="AP69" s="4">
        <f>ROW()</f>
        <v>69</v>
      </c>
      <c r="AQ69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המגינים 17 , חיפה</v>
      </c>
    </row>
    <row r="70" spans="1:43">
      <c r="A70" s="371" t="s">
        <v>387</v>
      </c>
      <c r="B70" s="371" t="s">
        <v>404</v>
      </c>
      <c r="C70" s="4" t="str">
        <f>TRIM(tbEmploDetails[[#This Row],[שם משפחה]])&amp;" "&amp;TRIM(tbEmploDetails[[#This Row],[שם פרטי]])</f>
        <v>ברק רותם</v>
      </c>
      <c r="D70" t="s">
        <v>558</v>
      </c>
      <c r="E70" t="s">
        <v>534</v>
      </c>
      <c r="F70" t="s">
        <v>629</v>
      </c>
      <c r="G70" t="str">
        <f>TRIM(tbEmploDetails[[#This Row],[כתובת - שם רחוב]]&amp;" "&amp;tbEmploDetails[[#This Row],[כתובת - מס'' רחוב]])</f>
        <v>המייסדים 68</v>
      </c>
      <c r="H70" t="s">
        <v>649</v>
      </c>
      <c r="I70" s="49" t="s">
        <v>35</v>
      </c>
      <c r="J70" s="6"/>
      <c r="L70" t="str">
        <f>TRIM(tbEmploDetails[[#This Row],[איש קשר - שם מלא]] &amp; " (" &amp; tbEmploDetails[[#This Row],[איש קשר - טיב קשר]] &amp; ")")</f>
        <v>()</v>
      </c>
      <c r="M70" s="43">
        <v>44901</v>
      </c>
      <c r="N70" s="4">
        <f ca="1">IF(tbEmploDetails[[#This Row],[תאריך תחילת תעסוקה נוכחית]],TODAY()-tbEmploDetails[[#This Row],[תאריך תחילת תעסוקה נוכחית]],"חסר מידע")</f>
        <v>657</v>
      </c>
      <c r="O70" s="202" t="str">
        <f ca="1">IF(ISNUMBER(tbEmploDetails[[#This Row],[מס'' ימים בעבודה]]),IF(ROUNDDOWN(YEARFRAC(tbEmploDetails[[#This Row],[תאריך תחילת תעסוקה נוכחית]],TodayCell),0),IF(ROUNDDOWN(YEARFRAC(tbEmploDetails[[#This Row],[תאריך תחילת תעסוקה נוכחית]],TodayCell),0),ROUNDDOWN(YEARFRAC(tbEmploDetails[[#This Row],[תאריך תחילת תעסוקה נוכחית]],TodayCell),0)&amp;" "&amp;"שנים",""),IF(IFERROR(ROUNDDOWN(MOD(YEARFRAC(tbEmploDetails[[#This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"&amp;"חודשים",""),""))&amp;", "&amp;IF(ROUNDDOWN(YEARFRAC(tbEmploDetails[[#This Row],[תאריך תחילת תעסוקה נוכחית]],TodayCell),0),IF(IFERROR(ROUNDDOWN(MOD(YEARFRAC(tbEmploDetails[[#This Row],[תאריך תחילת תעסוקה נוכחית]],TodayCell)/(1/12),12),0),"e"),IF(IFERROR(ROUNDDOWN(MOD(YEARFRAC(tbEmploDetails[[#This Row],[תאריך תחילת תעסוקה נוכחית]],TodayCell)/(1/12),12),0),"e"),IFERROR(ROUNDDOWN(MOD(YEARFRAC(tbEmploDetails[[#This Row],[תאריך תחילת תעסוקה נוכחית]],TodayCell)/(1/12),12),0),"e")&amp;" "&amp;"חודשים",""),IF(IFERROR(ROUNDDOWN(MOD(YEARFRAC(tbEmploDetails[[#This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"&amp;"ימים",""),"")),IF(IFERROR(ROUNDDOWN(MOD(YEARFRAC(tbEmploDetails[[#This Row],[תאריך תחילת תעסוקה נוכחית]],TodayCell)/(1/365),30),0),"e"),IF(IFERROR(ROUNDDOWN(MOD(YEARFRAC(tbEmploDetails[[#This Row],[תאריך תחילת תעסוקה נוכחית]],TodayCell)/(1/365),30),0),"e"),IFERROR(ROUNDDOWN(MOD(YEARFRAC(tbEmploDetails[[#This Row],[תאריך תחילת תעסוקה נוכחית]],TodayCell)/(1/365),30),0),"e")&amp;" "&amp;"ימים",""),"")),"חסר מידע")</f>
        <v>1 שנים, 9 חודשים</v>
      </c>
      <c r="P70" s="49" t="s">
        <v>120</v>
      </c>
      <c r="Q70" s="48" t="str">
        <f>IF(tbEmploDetails[[#This Row],[שם מלא]]="",
    "",
    IF(COUNTIF(tbShetchExam[נבחן],tbEmploDetails[[#This Row],[שם מלא]])=0,
        "לא ניגש",
        IF(COUNTIF(tbShetchExam[נבחן],tbEmploDetails[[#This Row],[שם מלא]])=1,
            _xlfn.XLOOKUP(tbEmploDetails[[#This Row],[שם מלא]],tbShetchExam[נבחן],tbShetchExam[תוצאה],"not found",0,),
            IFERROR(INDEX(tbShetchExam[תוצאה], MATCH(_xlfn.MAXIFS(tbShetchExam[תאריך], tbShetchExam[נבחן], tbEmploDetails[[#This Row],[שם מלא]]), tbShetchExam[תאריך], 0)),
                "בדוק תאריכים בגיליון בחני שטח"
            )
        )
    )
)</f>
        <v>לא ניגש</v>
      </c>
      <c r="R70" s="48">
        <f>MAX(_xlfn.MAXIFS(tbShetchExam[מס'' פעם], tbShetchExam[נבחן],tbEmploDetails[[#This Row],[שם מלא]]))</f>
        <v>0</v>
      </c>
      <c r="S70" t="s">
        <v>40</v>
      </c>
      <c r="T70" t="s">
        <v>42</v>
      </c>
      <c r="U70" t="s">
        <v>93</v>
      </c>
      <c r="V70" s="2">
        <v>45298</v>
      </c>
      <c r="W70" s="4">
        <f ca="1">IF(tbEmploDetails[[#This Row],[תאריך הצ'' בריאות נוכחית]],EDATE(tbEmploDetails[[#This Row],[תאריך הצ'' בריאות נוכחית]],12)-TODAY(),"")</f>
        <v>106</v>
      </c>
      <c r="X70" s="4">
        <f>COUNTIFS(tbLate[איחור בדק''/חור],"&lt;&gt;חור",tbLate[שם המאחר],tbEmploDetails[[#This Row],[שם מלא]])</f>
        <v>0</v>
      </c>
      <c r="Y70" s="4">
        <f>COUNTIFS(tbLate[איחור בדק''/חור],"חור",tbLate[שם המאחר],tbEmploDetails[[#This Row],[שם מלא]])</f>
        <v>0</v>
      </c>
      <c r="Z70" s="133" t="str">
        <f>IFERROR(AVERAGEIFS(tbLate[איחור בדק''/חור],tbLate[שם המאחר],tbEmploDetails[[#This Row],[שם מלא]]),"")</f>
        <v/>
      </c>
      <c r="AA70" s="4">
        <f ca="1">COUNTIFS(tbLate[שם המאחר],tbEmploDetails[[#This Row],[שם מלא]],tbLate[תאריך],"&gt;"&amp;months2AgoCell,tbLate[מס''דק''איחור],"&gt;0")</f>
        <v>0</v>
      </c>
      <c r="AB70" s="4">
        <f ca="1">COUNTIFS(tbLate[שם המאחר],tbEmploDetails[[#This Row],[שם מלא]],tbLate[תאריך],"&gt;"&amp;months2AgoCell,tbLate[האם חור],"&gt;0")</f>
        <v>0</v>
      </c>
      <c r="AC70" s="4">
        <f>COUNTIFS(tbPerfReview[מאבטח],tbEmploDetails[[#This Row],[שם מלא]])</f>
        <v>0</v>
      </c>
      <c r="AD70" s="133" t="str">
        <f>IFERROR(AVERAGEIFS(tbPerfReview[ציון],tbPerfReview[מאבטח],tbEmploDetails[[#This Row],[שם מלא]]),"")</f>
        <v/>
      </c>
      <c r="AE70" s="4">
        <f ca="1">COUNTIFS(tbPerfReview[תאריך],"&gt;"&amp;yearAgoCell,tbPerfReview[מאבטח],tbEmploDetails[[#This Row],[שם מלא]])</f>
        <v>0</v>
      </c>
      <c r="AF70" s="133" t="str">
        <f ca="1">IFERROR(AVERAGEIFS(tbPerfReview[ציון],tbPerfReview[מאבטח],tbEmploDetails[[#This Row],[שם מלא]],tbPerfReview[תאריך],"&gt;="&amp;yearAgoCell),"")</f>
        <v/>
      </c>
      <c r="AG70" s="4"/>
      <c r="AH70" s="4">
        <f>COUNTIFS(tbDrills[מאבטח],tbEmploDetails[[#This Row],[שם מלא]])</f>
        <v>0</v>
      </c>
      <c r="AI70" s="4" t="str">
        <f>IFERROR(AVERAGEIFS(tbDrills[ציון],tbDrills[מאבטח],tbEmploDetails[[#This Row],[שם מלא]]),"")</f>
        <v/>
      </c>
      <c r="AJ70" s="4">
        <f ca="1">COUNTIFS(tbDrills[תאריך],"&gt;"&amp;yearAgoCell,tbDrills[מאבטח],tbEmploDetails[[#This Row],[שם מלא]])</f>
        <v>0</v>
      </c>
      <c r="AK70" s="4" t="str">
        <f ca="1">IFERROR(AVERAGEIFS(tbDrills[ציון],tbDrills[מאבטח],tbEmploDetails[[#This Row],[שם מלא]],tbDrills[תאריך],"&gt;="&amp;yearAgoCell),"")</f>
        <v/>
      </c>
      <c r="AL70" t="s">
        <v>676</v>
      </c>
      <c r="AM70" s="370">
        <v>68</v>
      </c>
      <c r="AN70" s="4"/>
      <c r="AO70" s="4"/>
      <c r="AP70" s="4">
        <f>ROW()</f>
        <v>70</v>
      </c>
      <c r="AQ70" s="4" t="str">
        <f>IF((AND(tbEmploDetails[[#This Row],[כתובת - שם רחוב]]="",tbEmploDetails[[#This Row],[כתובת - מס'' רחוב]]="",tbEmploDetails[[#This Row],[כתובת - שכונה/ישוב]]="")),"אין כתובת במערכת",TRIM(tbEmploDetails[[#This Row],[כתובת - רחוב]]&amp;" , "&amp;tbEmploDetails[[#This Row],[כתובת - שכונה/ישוב]]))</f>
        <v>המייסדים 68 , רחובות</v>
      </c>
    </row>
  </sheetData>
  <sheetProtection algorithmName="SHA-512" hashValue="mrPb4qx9806FHxHGY78WUNmhF9EeN+4V6US46Jb0pztp9U34UW57gRC83CNCZO3VzKfOcwoX0GwlPQO+Q2lt5g==" saltValue="30GnPvucTqscUaoTTY7o+A==" spinCount="100000" sheet="1" objects="1" scenarios="1"/>
  <dataConsolidate/>
  <phoneticPr fontId="6" type="noConversion"/>
  <conditionalFormatting sqref="P2:P70">
    <cfRule type="notContainsText" dxfId="10" priority="10" operator="notContains" text="לא">
      <formula>ISERROR(SEARCH("לא",P2))</formula>
    </cfRule>
  </conditionalFormatting>
  <conditionalFormatting sqref="Q2:R70">
    <cfRule type="containsText" dxfId="9" priority="8" operator="containsText" text="נכשל">
      <formula>NOT(ISERROR(SEARCH("נכשל",Q2)))</formula>
    </cfRule>
    <cfRule type="containsText" dxfId="8" priority="9" operator="containsText" text="עבר">
      <formula>NOT(ISERROR(SEARCH("עבר",Q2)))</formula>
    </cfRule>
  </conditionalFormatting>
  <conditionalFormatting sqref="R2:R70 AH2:AK70 AE2:AE70 AA2:AC70 X2:Y70">
    <cfRule type="cellIs" dxfId="7" priority="7" operator="notEqual">
      <formula>0</formula>
    </cfRule>
  </conditionalFormatting>
  <conditionalFormatting sqref="W2:W70">
    <cfRule type="cellIs" dxfId="6" priority="1" stopIfTrue="1" operator="lessThan">
      <formula>0</formula>
    </cfRule>
    <cfRule type="cellIs" dxfId="5" priority="2" stopIfTrue="1" operator="lessThan">
      <formula>30</formula>
    </cfRule>
    <cfRule type="cellIs" dxfId="4" priority="3" operator="lessThan">
      <formula>60</formula>
    </cfRule>
  </conditionalFormatting>
  <printOptions horizontalCentered="1"/>
  <pageMargins left="3.937007874015748E-2" right="3.937007874015748E-2" top="0.39370078740157483" bottom="0.39370078740157483" header="0.11811023622047245" footer="0.11811023622047245"/>
  <pageSetup paperSize="9" scale="23" fitToHeight="0" orientation="portrait" r:id="rId1"/>
  <headerFooter>
    <oddHeader>&amp;L&amp;D, &amp;T&amp;Rקובץ: &amp;F
גיליון: &amp;A</oddHeader>
    <oddFooter>&amp;Cעמוד &amp;P מתוך &amp;N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9DAB860-8B70-411F-94C7-7D74E29DC4BB}">
          <x14:formula1>
            <xm:f>'גיליון טכני'!$A$2:$A$3</xm:f>
          </x14:formula1>
          <xm:sqref>I2:I70</xm:sqref>
        </x14:dataValidation>
        <x14:dataValidation type="list" allowBlank="1" showInputMessage="1" showErrorMessage="1" xr:uid="{132060C5-62F5-4451-AAEA-FFE068A6978F}">
          <x14:formula1>
            <xm:f>'גיליון טכני'!$E$2:$E$3</xm:f>
          </x14:formula1>
          <xm:sqref>S2:S70</xm:sqref>
        </x14:dataValidation>
        <x14:dataValidation type="list" allowBlank="1" showInputMessage="1" showErrorMessage="1" xr:uid="{244DED65-B2DD-4618-8E4B-4115B23AECC3}">
          <x14:formula1>
            <xm:f>'גיליון טכני'!$G$2:$G$3</xm:f>
          </x14:formula1>
          <xm:sqref>T2:T70</xm:sqref>
        </x14:dataValidation>
        <x14:dataValidation type="list" allowBlank="1" showInputMessage="1" showErrorMessage="1" xr:uid="{9167817E-2416-44E8-AE08-7957AA76032B}">
          <x14:formula1>
            <xm:f>'גיליון טכני'!$S$2:$S$8</xm:f>
          </x14:formula1>
          <xm:sqref>U2:U70</xm:sqref>
        </x14:dataValidation>
        <x14:dataValidation type="list" allowBlank="1" showInputMessage="1" showErrorMessage="1" xr:uid="{DBEEB52C-A404-4F22-8E7C-E15C8091379D}">
          <x14:formula1>
            <xm:f>'גיליון טכני'!$U$2:$U$3</xm:f>
          </x14:formula1>
          <xm:sqref>P2:P70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FC5F-69D3-4555-BC06-F5A7D335910F}">
  <sheetPr codeName="גיליון14">
    <tabColor theme="0"/>
  </sheetPr>
  <dimension ref="A1:H11"/>
  <sheetViews>
    <sheetView showGridLines="0" rightToLeft="1" view="pageBreakPreview" zoomScaleNormal="100" zoomScaleSheetLayoutView="100" workbookViewId="0">
      <selection activeCell="A11" sqref="A11"/>
    </sheetView>
  </sheetViews>
  <sheetFormatPr defaultColWidth="9" defaultRowHeight="13.8"/>
  <cols>
    <col min="1" max="1" width="10.69921875" style="372" customWidth="1"/>
    <col min="2" max="3" width="9" style="373"/>
    <col min="4" max="6" width="26.59765625" style="378" customWidth="1"/>
    <col min="7" max="7" width="10.09765625" style="373" customWidth="1"/>
    <col min="8" max="8" width="34" style="378" customWidth="1"/>
    <col min="9" max="16384" width="9" style="373"/>
  </cols>
  <sheetData>
    <row r="1" spans="1:8" s="87" customFormat="1" ht="15">
      <c r="A1" s="140"/>
      <c r="B1" s="139"/>
      <c r="C1" s="139"/>
      <c r="D1" s="207"/>
      <c r="E1" s="137"/>
      <c r="F1" s="137"/>
      <c r="G1" s="139"/>
      <c r="H1" s="137"/>
    </row>
    <row r="2" spans="1:8" s="87" customFormat="1" ht="33">
      <c r="A2" s="140"/>
      <c r="B2" s="139"/>
      <c r="C2" s="139"/>
      <c r="D2" s="207"/>
      <c r="E2" s="143" t="str">
        <f>NameSearchCell</f>
        <v>בן דוד מאיה</v>
      </c>
      <c r="F2" s="137"/>
      <c r="G2" s="139"/>
      <c r="H2" s="137"/>
    </row>
    <row r="3" spans="1:8" s="87" customFormat="1" ht="15">
      <c r="A3" s="140"/>
      <c r="B3" s="139"/>
      <c r="C3" s="139"/>
      <c r="D3" s="207"/>
      <c r="E3" s="137"/>
      <c r="F3" s="137"/>
      <c r="G3" s="139"/>
      <c r="H3" s="137"/>
    </row>
    <row r="4" spans="1:8" s="87" customFormat="1" ht="15">
      <c r="A4" s="140"/>
      <c r="B4" s="139"/>
      <c r="C4" s="139"/>
      <c r="D4" s="208" t="str">
        <f>"ת.ז. "&amp;'עובד - כללי'!B7</f>
        <v>ת.ז. 3-1122334-5</v>
      </c>
      <c r="E4" s="146" t="str">
        <f>"טל' "&amp;'עובד - כללי'!D7</f>
        <v>טל' 053-8765432</v>
      </c>
      <c r="F4" s="146" t="str">
        <f>"בעבודה מאז: "&amp;TEXT('עובד - כללי'!I2,"[$-he-IL,101] mmmm yy';@")</f>
        <v>בעבודה מאז:  יולי 21'</v>
      </c>
      <c r="G4" s="11"/>
      <c r="H4" s="137"/>
    </row>
    <row r="5" spans="1:8" s="87" customFormat="1" ht="15.6">
      <c r="A5" s="140"/>
      <c r="B5" s="139"/>
      <c r="C5" s="139"/>
      <c r="D5" s="209" t="s">
        <v>82</v>
      </c>
      <c r="E5" s="148"/>
      <c r="F5" s="147" t="s">
        <v>171</v>
      </c>
      <c r="G5" s="148"/>
      <c r="H5" s="137"/>
    </row>
    <row r="6" spans="1:8" s="87" customFormat="1" ht="15">
      <c r="A6" s="140"/>
      <c r="B6" s="139"/>
      <c r="C6" s="139"/>
      <c r="D6" s="210" t="s">
        <v>159</v>
      </c>
      <c r="E6" s="144" t="str">
        <f ca="1">'עובד - כללי'!E17&amp;" ביקורות"</f>
        <v>0 ביקורות</v>
      </c>
      <c r="F6" s="149" t="s">
        <v>85</v>
      </c>
      <c r="G6" s="144" t="str">
        <f ca="1">'עובד - כללי'!C19&amp;" פעמים"</f>
        <v>0 פעמים</v>
      </c>
      <c r="H6" s="137"/>
    </row>
    <row r="7" spans="1:8" s="87" customFormat="1" ht="15">
      <c r="A7" s="140"/>
      <c r="B7" s="139"/>
      <c r="C7" s="139"/>
      <c r="D7" s="210" t="str">
        <f>"ציון ממוצע בביקורות (מ-" &amp; MIN(lsOptRvew[מספרי]) &amp; " עד " &amp; MAX(lsOptRvew[מספרי]) &amp; "):"</f>
        <v>ציון ממוצע בביקורות (מ-0 עד 10):</v>
      </c>
      <c r="E7" s="145" t="str">
        <f ca="1">'עובד - כללי'!E18</f>
        <v>--</v>
      </c>
      <c r="F7" s="149" t="s">
        <v>84</v>
      </c>
      <c r="G7" s="144" t="str">
        <f ca="1">'עובד - כללי'!C17&amp;" פעמים"</f>
        <v>0 פעמים</v>
      </c>
      <c r="H7" s="137"/>
    </row>
    <row r="8" spans="1:8" s="87" customFormat="1" ht="15">
      <c r="A8" s="140"/>
      <c r="B8" s="139"/>
      <c r="C8" s="139"/>
      <c r="D8" s="210"/>
      <c r="E8" s="144"/>
      <c r="F8" s="149" t="s">
        <v>279</v>
      </c>
      <c r="G8" s="145" t="str">
        <f ca="1">'עובד - כללי'!C18</f>
        <v>--</v>
      </c>
      <c r="H8" s="137"/>
    </row>
    <row r="9" spans="1:8" s="87" customFormat="1" ht="15">
      <c r="A9" s="140"/>
      <c r="B9" s="139"/>
      <c r="C9" s="139"/>
      <c r="D9" s="211"/>
      <c r="E9" s="144"/>
      <c r="F9" s="11"/>
      <c r="G9" s="144"/>
      <c r="H9" s="137"/>
    </row>
    <row r="10" spans="1:8" s="51" customFormat="1">
      <c r="A10" s="141" t="s">
        <v>18</v>
      </c>
      <c r="B10" s="142" t="s">
        <v>92</v>
      </c>
      <c r="C10" s="142" t="s">
        <v>27</v>
      </c>
      <c r="D10" s="212" t="s">
        <v>28</v>
      </c>
      <c r="E10" s="142" t="s">
        <v>29</v>
      </c>
      <c r="F10" s="142" t="s">
        <v>30</v>
      </c>
      <c r="G10" s="142" t="s">
        <v>53</v>
      </c>
      <c r="H10" s="142" t="s">
        <v>22</v>
      </c>
    </row>
    <row r="11" spans="1:8">
      <c r="A11" s="372" t="str" cm="1">
        <f t="array" ref="A11">_xlfn._xlws.SORT(_xlfn._xlws.FILTER(INDEX(tbPerfReview[],_xlfn.SEQUENCE(ROWS(tbPerfReview[])),{1,3,5,6,7,8,10,11}),tbPerfReview[מאבטח]=NameSearchCell,"אין ביקורות"),1,-1,FALSE)</f>
        <v>אין ביקורות</v>
      </c>
    </row>
  </sheetData>
  <sheetProtection algorithmName="SHA-512" hashValue="nrDXd8p7TGpJw/oLethxlhE2mrXr9dxq9n9vLI2gWBmYK6ZncE9tXGnO3+0k49nVsKxfReK2W6/N5MbPJ/1fWw==" saltValue="5xR+N3oAPh533Y+DjaddDw==" spinCount="100000" sheet="1" objects="1" scenarios="1"/>
  <conditionalFormatting sqref="G1:G1048576">
    <cfRule type="containsText" dxfId="3" priority="1" operator="containsText" text="שלילית">
      <formula>NOT(ISERROR(SEARCH("שלילית",G1)))</formula>
    </cfRule>
  </conditionalFormatting>
  <pageMargins left="0.23622047244094491" right="0.23622047244094491" top="0.74803149606299213" bottom="0.74803149606299213" header="0.31496062992125984" footer="0.31496062992125984"/>
  <pageSetup paperSize="9" scale="86" orientation="landscape" r:id="rId1"/>
  <headerFooter>
    <oddHeader>&amp;L&amp;D&amp;C- אישי -&amp;Rהדפסה לשיחת משמעת</oddHeader>
    <oddFooter>&amp;Cעמוד &amp;P מתוך &amp;N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8F1AF-3C9F-4E7F-93E5-EB30A8652288}">
  <sheetPr codeName="גיליון3">
    <tabColor theme="7" tint="0.39997558519241921"/>
    <pageSetUpPr fitToPage="1"/>
  </sheetPr>
  <dimension ref="A1:N26"/>
  <sheetViews>
    <sheetView rightToLeft="1" zoomScale="115" zoomScaleNormal="115" workbookViewId="0">
      <selection activeCell="H20" sqref="H20"/>
    </sheetView>
  </sheetViews>
  <sheetFormatPr defaultRowHeight="13.8"/>
  <cols>
    <col min="1" max="1" width="9.8984375" style="126" bestFit="1" customWidth="1"/>
    <col min="3" max="3" width="12.59765625" bestFit="1" customWidth="1"/>
    <col min="6" max="6" width="9.19921875" customWidth="1"/>
    <col min="7" max="7" width="27.3984375" customWidth="1"/>
    <col min="10" max="10" width="9.8984375" bestFit="1" customWidth="1"/>
    <col min="12" max="12" width="9.8984375" bestFit="1" customWidth="1"/>
    <col min="14" max="14" width="9.8984375" bestFit="1" customWidth="1"/>
  </cols>
  <sheetData>
    <row r="1" spans="1:12">
      <c r="A1" s="126" t="s">
        <v>18</v>
      </c>
      <c r="B1" t="s">
        <v>19</v>
      </c>
      <c r="C1" t="s">
        <v>20</v>
      </c>
      <c r="D1" s="37" t="s">
        <v>77</v>
      </c>
      <c r="E1" t="s">
        <v>21</v>
      </c>
      <c r="F1" s="36" t="s">
        <v>23</v>
      </c>
      <c r="G1" t="s">
        <v>22</v>
      </c>
    </row>
    <row r="2" spans="1:12">
      <c r="A2" s="126">
        <v>44958</v>
      </c>
      <c r="B2" t="s">
        <v>684</v>
      </c>
      <c r="C2" s="379" t="s">
        <v>685</v>
      </c>
      <c r="D2" s="37" t="str">
        <f>_xlfn.XLOOKUP(tbShetchExam[[#This Row],[נבחן]],tbEmploDetails[שם מלא],tbEmploDetails[האם פעיל],"not found",0,1)</f>
        <v>פעיל</v>
      </c>
      <c r="E2" s="89" t="s">
        <v>38</v>
      </c>
      <c r="F2" s="380">
        <f>COUNTIFS(tbShetchExam[נבחן],"=" &amp; tbShetchExam[[#This Row],[נבחן]],tbShetchExam[תאריך],"&lt;=" &amp; tbShetchExam[[#This Row],[תאריך]])</f>
        <v>1</v>
      </c>
      <c r="G2" s="90" t="s">
        <v>686</v>
      </c>
    </row>
    <row r="3" spans="1:12">
      <c r="A3" s="126">
        <v>44986</v>
      </c>
      <c r="B3" t="s">
        <v>684</v>
      </c>
      <c r="C3" s="379" t="s">
        <v>681</v>
      </c>
      <c r="D3" s="37" t="str">
        <f>_xlfn.XLOOKUP(tbShetchExam[[#This Row],[נבחן]],tbEmploDetails[שם מלא],tbEmploDetails[האם פעיל],"not found",0,1)</f>
        <v>פעיל</v>
      </c>
      <c r="E3" s="89" t="s">
        <v>59</v>
      </c>
      <c r="F3" s="380">
        <f>COUNTIFS(tbShetchExam[נבחן],"=" &amp; tbShetchExam[[#This Row],[נבחן]],tbShetchExam[תאריך],"&lt;=" &amp; tbShetchExam[[#This Row],[תאריך]])</f>
        <v>1</v>
      </c>
      <c r="G3" s="90" t="s">
        <v>54</v>
      </c>
    </row>
    <row r="4" spans="1:12">
      <c r="A4" s="126">
        <v>45314</v>
      </c>
      <c r="B4" t="s">
        <v>684</v>
      </c>
      <c r="C4" s="379" t="s">
        <v>687</v>
      </c>
      <c r="D4" s="37" t="str">
        <f>_xlfn.XLOOKUP(tbShetchExam[[#This Row],[נבחן]],tbEmploDetails[שם מלא],tbEmploDetails[האם פעיל],"not found",0,1)</f>
        <v>פעיל</v>
      </c>
      <c r="E4" s="89" t="s">
        <v>38</v>
      </c>
      <c r="F4" s="380">
        <f>COUNTIFS(tbShetchExam[נבחן],"=" &amp; tbShetchExam[[#This Row],[נבחן]],tbShetchExam[תאריך],"&lt;=" &amp; tbShetchExam[[#This Row],[תאריך]])</f>
        <v>1</v>
      </c>
      <c r="G4" s="90" t="s">
        <v>688</v>
      </c>
    </row>
    <row r="5" spans="1:12">
      <c r="L5" s="2"/>
    </row>
    <row r="6" spans="1:12">
      <c r="L6" s="2"/>
    </row>
    <row r="7" spans="1:12">
      <c r="L7" s="2"/>
    </row>
    <row r="8" spans="1:12">
      <c r="L8" s="2"/>
    </row>
    <row r="9" spans="1:12">
      <c r="L9" s="2"/>
    </row>
    <row r="10" spans="1:12">
      <c r="J10" s="2"/>
      <c r="L10" s="2"/>
    </row>
    <row r="11" spans="1:12">
      <c r="L11" s="2"/>
    </row>
    <row r="12" spans="1:12">
      <c r="L12" s="2"/>
    </row>
    <row r="13" spans="1:12">
      <c r="L13" s="2"/>
    </row>
    <row r="14" spans="1:12">
      <c r="L14" s="2"/>
    </row>
    <row r="15" spans="1:12">
      <c r="L15" s="2"/>
    </row>
    <row r="21" spans="14:14">
      <c r="N21" s="2"/>
    </row>
    <row r="22" spans="14:14">
      <c r="N22" s="2"/>
    </row>
    <row r="23" spans="14:14">
      <c r="N23" s="2"/>
    </row>
    <row r="24" spans="14:14">
      <c r="N24" s="2"/>
    </row>
    <row r="25" spans="14:14">
      <c r="N25" s="2"/>
    </row>
    <row r="26" spans="14:14">
      <c r="N26" s="2"/>
    </row>
  </sheetData>
  <sheetProtection algorithmName="SHA-512" hashValue="hdYI+llp0i2mlhEdd8tvEQZAzXHpLgPDQ9j9ZByHmF+p1y1K4zBWLxGBdz3EAo0HVGqtWZ+awWte8OPsUFRrVQ==" saltValue="dcQJhCWWR0yEEO54IW8qHA==" spinCount="100000" sheet="1" objects="1" scenarios="1"/>
  <dataValidations disablePrompts="1" count="2">
    <dataValidation type="date" operator="lessThan" allowBlank="1" showInputMessage="1" showErrorMessage="1" sqref="A2:A4" xr:uid="{8D57FAEC-2470-40FF-9801-613B1E0F47FF}">
      <formula1>2958465</formula1>
    </dataValidation>
    <dataValidation type="list" allowBlank="1" showInputMessage="1" showErrorMessage="1" sqref="C2:C4" xr:uid="{57941A0E-A9C5-4790-9C2D-74CFFD3C609C}">
      <formula1>clmnFullNamesFP</formula1>
    </dataValidation>
  </dataValidations>
  <printOptions horizontalCentered="1"/>
  <pageMargins left="3.937007874015748E-2" right="3.937007874015748E-2" top="0.39370078740157483" bottom="0.39370078740157483" header="0.11811023622047245" footer="0.11811023622047245"/>
  <pageSetup paperSize="9" scale="80" fitToHeight="0" orientation="portrait" r:id="rId1"/>
  <headerFooter>
    <oddHeader>&amp;L&amp;D, &amp;T&amp;Rקובץ: &amp;F
גיליון: &amp;A</oddHeader>
    <oddFooter>&amp;Cעמוד &amp;P מתוך &amp;N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9E962D1-3A6E-43DA-82C0-CC3FD4E59BF6}">
          <x14:formula1>
            <xm:f>'גיליון טכני'!$C$2:$C$3</xm:f>
          </x14:formula1>
          <xm:sqref>E2:E4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E4DC5-A8EC-48F7-A6EC-E34E0C46D371}">
  <sheetPr codeName="גיליון4">
    <tabColor theme="7" tint="0.39997558519241921"/>
    <pageSetUpPr fitToPage="1"/>
  </sheetPr>
  <dimension ref="A1:O10"/>
  <sheetViews>
    <sheetView rightToLeft="1" zoomScaleNormal="100" workbookViewId="0">
      <selection activeCell="H20" sqref="H20"/>
    </sheetView>
  </sheetViews>
  <sheetFormatPr defaultRowHeight="13.8"/>
  <cols>
    <col min="1" max="1" width="10.8984375" style="2" bestFit="1" customWidth="1"/>
    <col min="2" max="2" width="9.3984375" style="2" customWidth="1"/>
    <col min="3" max="3" width="6.59765625" customWidth="1"/>
    <col min="4" max="4" width="9.8984375" customWidth="1"/>
    <col min="5" max="5" width="12.59765625" bestFit="1" customWidth="1"/>
    <col min="6" max="6" width="10" customWidth="1"/>
    <col min="7" max="7" width="8.5" customWidth="1"/>
    <col min="8" max="8" width="8.19921875" customWidth="1"/>
    <col min="9" max="9" width="73.09765625" customWidth="1"/>
    <col min="10" max="10" width="10.19921875" bestFit="1" customWidth="1"/>
    <col min="13" max="13" width="9.8984375" bestFit="1" customWidth="1"/>
  </cols>
  <sheetData>
    <row r="1" spans="1:15">
      <c r="A1" s="2" t="s">
        <v>18</v>
      </c>
      <c r="B1" s="37" t="s">
        <v>231</v>
      </c>
      <c r="C1" s="37" t="s">
        <v>121</v>
      </c>
      <c r="D1" t="s">
        <v>24</v>
      </c>
      <c r="E1" t="s">
        <v>25</v>
      </c>
      <c r="F1" t="s">
        <v>103</v>
      </c>
      <c r="G1" s="37" t="s">
        <v>102</v>
      </c>
      <c r="H1" s="37" t="s">
        <v>104</v>
      </c>
      <c r="I1" t="s">
        <v>22</v>
      </c>
      <c r="J1" s="37" t="s">
        <v>335</v>
      </c>
      <c r="K1" s="37" t="s">
        <v>305</v>
      </c>
      <c r="L1" s="37" t="s">
        <v>304</v>
      </c>
      <c r="M1" s="37" t="s">
        <v>303</v>
      </c>
      <c r="N1" s="37" t="s">
        <v>6</v>
      </c>
      <c r="O1" s="37" t="s">
        <v>341</v>
      </c>
    </row>
    <row r="2" spans="1:15">
      <c r="A2" s="2">
        <v>45570</v>
      </c>
      <c r="B2" s="2" t="b">
        <f ca="1">tbLate[[#This Row],[תאריך]]&gt;=yearAgoCell</f>
        <v>1</v>
      </c>
      <c r="C2" t="str">
        <f>IFERROR(IF(tbLate[[#This Row],[תאריך]]&lt;&gt;"",VLOOKUP(WEEKDAY(tbLate[[#This Row],[תאריך]],1),tbWeekdays[],3,FALSE),""),"")</f>
        <v>ש'</v>
      </c>
      <c r="D2" t="s">
        <v>44</v>
      </c>
      <c r="E2" t="s">
        <v>685</v>
      </c>
      <c r="F2" t="s">
        <v>61</v>
      </c>
      <c r="G2" s="35" t="str">
        <f>IF(ISNUMBER(tbLate[[#This Row],[איחור בדק''/חור]]),tbLate[[#This Row],[איחור בדק''/חור]],"")</f>
        <v/>
      </c>
      <c r="H2" s="35">
        <f>IF(tbLate[[#This Row],[איחור בדק''/חור]]="חור",1,"")</f>
        <v>1</v>
      </c>
      <c r="I2" s="1" t="s">
        <v>689</v>
      </c>
      <c r="J2">
        <f>WEEKNUM(tbLate[[#This Row],[תאריך]],1)</f>
        <v>40</v>
      </c>
      <c r="K2">
        <f>YEAR(tbLate[[#This Row],[תאריך]])</f>
        <v>2024</v>
      </c>
      <c r="L2">
        <f>MONTH(A2)</f>
        <v>10</v>
      </c>
      <c r="M2">
        <f>DAY(A2)</f>
        <v>5</v>
      </c>
      <c r="N2" t="str">
        <f>_xlfn.XLOOKUP(tbLate[[#This Row],[שם המאחר]],tbEmploDetails[שם מלא],tbEmploDetails[האם פעיל],"לא נמצא",0,1)</f>
        <v>פעיל</v>
      </c>
      <c r="O2">
        <f>ROW()</f>
        <v>2</v>
      </c>
    </row>
    <row r="3" spans="1:15">
      <c r="A3" s="118">
        <v>45570</v>
      </c>
      <c r="B3" s="118" t="b">
        <f ca="1">tbLate[[#This Row],[תאריך]]&gt;=yearAgoCell</f>
        <v>1</v>
      </c>
      <c r="C3" s="370" t="str">
        <f>IFERROR(IF(tbLate[[#This Row],[תאריך]]&lt;&gt;"",VLOOKUP(WEEKDAY(tbLate[[#This Row],[תאריך]],1),tbWeekdays[],3,FALSE),""),"")</f>
        <v>ש'</v>
      </c>
      <c r="D3" t="s">
        <v>44</v>
      </c>
      <c r="E3" t="s">
        <v>690</v>
      </c>
      <c r="F3" s="370">
        <v>13</v>
      </c>
      <c r="G3" s="35">
        <f>IF(ISNUMBER(tbLate[[#This Row],[איחור בדק''/חור]]),tbLate[[#This Row],[איחור בדק''/חור]],"")</f>
        <v>13</v>
      </c>
      <c r="H3" s="35" t="str">
        <f>IF(tbLate[[#This Row],[איחור בדק''/חור]]="חור",1,"")</f>
        <v/>
      </c>
      <c r="I3" s="1" t="s">
        <v>691</v>
      </c>
      <c r="J3">
        <f>WEEKNUM(tbLate[[#This Row],[תאריך]],1)</f>
        <v>40</v>
      </c>
      <c r="K3">
        <f>YEAR(tbLate[[#This Row],[תאריך]])</f>
        <v>2024</v>
      </c>
      <c r="L3">
        <f>MONTH(A3)</f>
        <v>10</v>
      </c>
      <c r="M3">
        <f>DAY(A3)</f>
        <v>5</v>
      </c>
      <c r="N3" t="str">
        <f>_xlfn.XLOOKUP(tbLate[[#This Row],[שם המאחר]],tbEmploDetails[שם מלא],tbEmploDetails[האם פעיל],"לא נמצא",0,1)</f>
        <v>פעיל</v>
      </c>
      <c r="O3">
        <f>ROW()</f>
        <v>3</v>
      </c>
    </row>
    <row r="4" spans="1:15">
      <c r="A4" s="118">
        <v>45570</v>
      </c>
      <c r="B4" s="118" t="b">
        <f ca="1">tbLate[[#This Row],[תאריך]]&gt;=yearAgoCell</f>
        <v>1</v>
      </c>
      <c r="C4" s="370" t="str">
        <f>IFERROR(IF(tbLate[[#This Row],[תאריך]]&lt;&gt;"",VLOOKUP(WEEKDAY(tbLate[[#This Row],[תאריך]],1),tbWeekdays[],3,FALSE),""),"")</f>
        <v>ש'</v>
      </c>
      <c r="D4" t="s">
        <v>44</v>
      </c>
      <c r="E4" t="s">
        <v>692</v>
      </c>
      <c r="F4" s="370" t="s">
        <v>61</v>
      </c>
      <c r="G4" s="35" t="str">
        <f>IF(ISNUMBER(tbLate[[#This Row],[איחור בדק''/חור]]),tbLate[[#This Row],[איחור בדק''/חור]],"")</f>
        <v/>
      </c>
      <c r="H4" s="35">
        <f>IF(tbLate[[#This Row],[איחור בדק''/חור]]="חור",1,"")</f>
        <v>1</v>
      </c>
      <c r="I4" s="1" t="s">
        <v>344</v>
      </c>
      <c r="J4">
        <f>WEEKNUM(tbLate[[#This Row],[תאריך]],1)</f>
        <v>40</v>
      </c>
      <c r="K4">
        <f>YEAR(tbLate[[#This Row],[תאריך]])</f>
        <v>2024</v>
      </c>
      <c r="L4">
        <f>MONTH(A4)</f>
        <v>10</v>
      </c>
      <c r="M4">
        <f>DAY(A4)</f>
        <v>5</v>
      </c>
      <c r="N4" t="str">
        <f>_xlfn.XLOOKUP(tbLate[[#This Row],[שם המאחר]],tbEmploDetails[שם מלא],tbEmploDetails[האם פעיל],"לא נמצא",0,1)</f>
        <v>פעיל</v>
      </c>
      <c r="O4">
        <f>ROW()</f>
        <v>4</v>
      </c>
    </row>
    <row r="5" spans="1:15">
      <c r="A5" s="118">
        <v>45570</v>
      </c>
      <c r="B5" s="118" t="b">
        <f ca="1">tbLate[[#This Row],[תאריך]]&gt;=yearAgoCell</f>
        <v>1</v>
      </c>
      <c r="C5" s="370" t="str">
        <f>IFERROR(IF(tbLate[[#This Row],[תאריך]]&lt;&gt;"",VLOOKUP(WEEKDAY(tbLate[[#This Row],[תאריך]],1),tbWeekdays[],3,FALSE),""),"")</f>
        <v>ש'</v>
      </c>
      <c r="D5" t="s">
        <v>44</v>
      </c>
      <c r="E5" t="s">
        <v>693</v>
      </c>
      <c r="F5" s="370">
        <v>25</v>
      </c>
      <c r="G5" s="35">
        <f>IF(ISNUMBER(tbLate[[#This Row],[איחור בדק''/חור]]),tbLate[[#This Row],[איחור בדק''/חור]],"")</f>
        <v>25</v>
      </c>
      <c r="H5" s="35" t="str">
        <f>IF(tbLate[[#This Row],[איחור בדק''/חור]]="חור",1,"")</f>
        <v/>
      </c>
      <c r="I5" s="1" t="s">
        <v>344</v>
      </c>
      <c r="J5">
        <f>WEEKNUM(tbLate[[#This Row],[תאריך]],1)</f>
        <v>40</v>
      </c>
      <c r="K5">
        <f>YEAR(tbLate[[#This Row],[תאריך]])</f>
        <v>2024</v>
      </c>
      <c r="L5">
        <f>MONTH(A5)</f>
        <v>10</v>
      </c>
      <c r="M5">
        <f>DAY(A5)</f>
        <v>5</v>
      </c>
      <c r="N5" t="str">
        <f>_xlfn.XLOOKUP(tbLate[[#This Row],[שם המאחר]],tbEmploDetails[שם מלא],tbEmploDetails[האם פעיל],"לא נמצא",0,1)</f>
        <v>פעיל</v>
      </c>
      <c r="O5">
        <f>ROW()</f>
        <v>5</v>
      </c>
    </row>
    <row r="6" spans="1:15">
      <c r="A6" s="118">
        <v>45566</v>
      </c>
      <c r="B6" s="118" t="b">
        <f ca="1">tbLate[[#This Row],[תאריך]]&gt;=yearAgoCell</f>
        <v>1</v>
      </c>
      <c r="C6" s="370" t="str">
        <f>IFERROR(IF(tbLate[[#This Row],[תאריך]]&lt;&gt;"",VLOOKUP(WEEKDAY(tbLate[[#This Row],[תאריך]],1),tbWeekdays[],3,FALSE),""),"")</f>
        <v>ג'</v>
      </c>
      <c r="D6" t="s">
        <v>48</v>
      </c>
      <c r="E6" t="s">
        <v>699</v>
      </c>
      <c r="F6" s="370" t="s">
        <v>61</v>
      </c>
      <c r="G6" s="35" t="str">
        <f>IF(ISNUMBER(tbLate[[#This Row],[איחור בדק''/חור]]),tbLate[[#This Row],[איחור בדק''/חור]],"")</f>
        <v/>
      </c>
      <c r="H6" s="35">
        <f>IF(tbLate[[#This Row],[איחור בדק''/חור]]="חור",1,"")</f>
        <v>1</v>
      </c>
      <c r="I6" s="1" t="s">
        <v>698</v>
      </c>
      <c r="J6">
        <f>WEEKNUM(tbLate[[#This Row],[תאריך]],1)</f>
        <v>40</v>
      </c>
      <c r="K6">
        <f>YEAR(tbLate[[#This Row],[תאריך]])</f>
        <v>2024</v>
      </c>
      <c r="L6">
        <f>MONTH(A6)</f>
        <v>10</v>
      </c>
      <c r="M6">
        <f>DAY(A6)</f>
        <v>1</v>
      </c>
      <c r="N6" t="str">
        <f>_xlfn.XLOOKUP(tbLate[[#This Row],[שם המאחר]],tbEmploDetails[שם מלא],tbEmploDetails[האם פעיל],"לא נמצא",0,1)</f>
        <v>פעיל</v>
      </c>
      <c r="O6">
        <f>ROW()</f>
        <v>6</v>
      </c>
    </row>
    <row r="7" spans="1:15">
      <c r="A7" s="118">
        <v>45566</v>
      </c>
      <c r="B7" s="118" t="b">
        <f ca="1">tbLate[[#This Row],[תאריך]]&gt;=yearAgoCell</f>
        <v>1</v>
      </c>
      <c r="C7" s="370" t="str">
        <f>IFERROR(IF(tbLate[[#This Row],[תאריך]]&lt;&gt;"",VLOOKUP(WEEKDAY(tbLate[[#This Row],[תאריך]],1),tbWeekdays[],3,FALSE),""),"")</f>
        <v>ג'</v>
      </c>
      <c r="D7" t="s">
        <v>48</v>
      </c>
      <c r="E7" t="s">
        <v>681</v>
      </c>
      <c r="F7" s="370">
        <v>24</v>
      </c>
      <c r="G7" s="35">
        <f>IF(ISNUMBER(tbLate[[#This Row],[איחור בדק''/חור]]),tbLate[[#This Row],[איחור בדק''/חור]],"")</f>
        <v>24</v>
      </c>
      <c r="H7" s="35" t="str">
        <f>IF(tbLate[[#This Row],[איחור בדק''/חור]]="חור",1,"")</f>
        <v/>
      </c>
      <c r="I7" s="1" t="s">
        <v>344</v>
      </c>
      <c r="J7">
        <f>WEEKNUM(tbLate[[#This Row],[תאריך]],1)</f>
        <v>40</v>
      </c>
      <c r="K7">
        <f>YEAR(tbLate[[#This Row],[תאריך]])</f>
        <v>2024</v>
      </c>
      <c r="L7">
        <f>MONTH(A7)</f>
        <v>10</v>
      </c>
      <c r="M7">
        <f>DAY(A7)</f>
        <v>1</v>
      </c>
      <c r="N7" t="str">
        <f>_xlfn.XLOOKUP(tbLate[[#This Row],[שם המאחר]],tbEmploDetails[שם מלא],tbEmploDetails[האם פעיל],"לא נמצא",0,1)</f>
        <v>פעיל</v>
      </c>
      <c r="O7">
        <f>ROW()</f>
        <v>7</v>
      </c>
    </row>
    <row r="8" spans="1:15">
      <c r="A8" s="118">
        <v>45566</v>
      </c>
      <c r="B8" s="118" t="b">
        <f ca="1">tbLate[[#This Row],[תאריך]]&gt;=yearAgoCell</f>
        <v>1</v>
      </c>
      <c r="C8" s="370" t="str">
        <f>IFERROR(IF(tbLate[[#This Row],[תאריך]]&lt;&gt;"",VLOOKUP(WEEKDAY(tbLate[[#This Row],[תאריך]],1),tbWeekdays[],3,FALSE),""),"")</f>
        <v>ג'</v>
      </c>
      <c r="D8" t="s">
        <v>48</v>
      </c>
      <c r="E8" t="s">
        <v>681</v>
      </c>
      <c r="F8" s="370" t="s">
        <v>61</v>
      </c>
      <c r="G8" s="35" t="str">
        <f>IF(ISNUMBER(tbLate[[#This Row],[איחור בדק''/חור]]),tbLate[[#This Row],[איחור בדק''/חור]],"")</f>
        <v/>
      </c>
      <c r="H8" s="35">
        <f>IF(tbLate[[#This Row],[איחור בדק''/חור]]="חור",1,"")</f>
        <v>1</v>
      </c>
      <c r="I8" s="1" t="s">
        <v>698</v>
      </c>
      <c r="J8">
        <f>WEEKNUM(tbLate[[#This Row],[תאריך]],1)</f>
        <v>40</v>
      </c>
      <c r="K8">
        <f>YEAR(tbLate[[#This Row],[תאריך]])</f>
        <v>2024</v>
      </c>
      <c r="L8">
        <f>MONTH(A8)</f>
        <v>10</v>
      </c>
      <c r="M8">
        <f>DAY(A8)</f>
        <v>1</v>
      </c>
      <c r="N8" t="str">
        <f>_xlfn.XLOOKUP(tbLate[[#This Row],[שם המאחר]],tbEmploDetails[שם מלא],tbEmploDetails[האם פעיל],"לא נמצא",0,1)</f>
        <v>פעיל</v>
      </c>
      <c r="O8">
        <f>ROW()</f>
        <v>8</v>
      </c>
    </row>
    <row r="9" spans="1:15">
      <c r="A9" s="118">
        <v>45566</v>
      </c>
      <c r="B9" s="118" t="b">
        <f ca="1">tbLate[[#This Row],[תאריך]]&gt;=yearAgoCell</f>
        <v>1</v>
      </c>
      <c r="C9" s="370" t="str">
        <f>IFERROR(IF(tbLate[[#This Row],[תאריך]]&lt;&gt;"",VLOOKUP(WEEKDAY(tbLate[[#This Row],[תאריך]],1),tbWeekdays[],3,FALSE),""),"")</f>
        <v>ג'</v>
      </c>
      <c r="D9" t="s">
        <v>48</v>
      </c>
      <c r="E9" t="s">
        <v>693</v>
      </c>
      <c r="F9" s="370">
        <v>47</v>
      </c>
      <c r="G9" s="35">
        <f>IF(ISNUMBER(tbLate[[#This Row],[איחור בדק''/חור]]),tbLate[[#This Row],[איחור בדק''/חור]],"")</f>
        <v>47</v>
      </c>
      <c r="H9" s="35" t="str">
        <f>IF(tbLate[[#This Row],[איחור בדק''/חור]]="חור",1,"")</f>
        <v/>
      </c>
      <c r="I9" s="1" t="s">
        <v>344</v>
      </c>
      <c r="J9">
        <f>WEEKNUM(tbLate[[#This Row],[תאריך]],1)</f>
        <v>40</v>
      </c>
      <c r="K9">
        <f>YEAR(tbLate[[#This Row],[תאריך]])</f>
        <v>2024</v>
      </c>
      <c r="L9">
        <f>MONTH(A9)</f>
        <v>10</v>
      </c>
      <c r="M9">
        <f>DAY(A9)</f>
        <v>1</v>
      </c>
      <c r="N9" t="str">
        <f>_xlfn.XLOOKUP(tbLate[[#This Row],[שם המאחר]],tbEmploDetails[שם מלא],tbEmploDetails[האם פעיל],"לא נמצא",0,1)</f>
        <v>פעיל</v>
      </c>
      <c r="O9">
        <f>ROW()</f>
        <v>9</v>
      </c>
    </row>
    <row r="10" spans="1:15">
      <c r="A10" s="118">
        <v>45566</v>
      </c>
      <c r="B10" s="118" t="b">
        <f ca="1">tbLate[[#This Row],[תאריך]]&gt;=yearAgoCell</f>
        <v>1</v>
      </c>
      <c r="C10" s="370" t="str">
        <f>IFERROR(IF(tbLate[[#This Row],[תאריך]]&lt;&gt;"",VLOOKUP(WEEKDAY(tbLate[[#This Row],[תאריך]],1),tbWeekdays[],3,FALSE),""),"")</f>
        <v>ג'</v>
      </c>
      <c r="D10" t="s">
        <v>48</v>
      </c>
      <c r="E10" t="s">
        <v>701</v>
      </c>
      <c r="F10" s="370" t="s">
        <v>61</v>
      </c>
      <c r="G10" s="35" t="str">
        <f>IF(ISNUMBER(tbLate[[#This Row],[איחור בדק''/חור]]),tbLate[[#This Row],[איחור בדק''/חור]],"")</f>
        <v/>
      </c>
      <c r="H10" s="35">
        <f>IF(tbLate[[#This Row],[איחור בדק''/חור]]="חור",1,"")</f>
        <v>1</v>
      </c>
      <c r="I10" s="1" t="s">
        <v>698</v>
      </c>
      <c r="J10">
        <f>WEEKNUM(tbLate[[#This Row],[תאריך]],1)</f>
        <v>40</v>
      </c>
      <c r="K10">
        <f>YEAR(tbLate[[#This Row],[תאריך]])</f>
        <v>2024</v>
      </c>
      <c r="L10">
        <f>MONTH(A10)</f>
        <v>10</v>
      </c>
      <c r="M10">
        <f>DAY(A10)</f>
        <v>1</v>
      </c>
      <c r="N10" t="str">
        <f>_xlfn.XLOOKUP(tbLate[[#This Row],[שם המאחר]],tbEmploDetails[שם מלא],tbEmploDetails[האם פעיל],"לא נמצא",0,1)</f>
        <v>פעיל</v>
      </c>
      <c r="O10">
        <f>ROW()</f>
        <v>10</v>
      </c>
    </row>
  </sheetData>
  <sheetProtection algorithmName="SHA-512" hashValue="1aYagY9FSQVjL2Lss3Wx/GGTqypTjwKkORsX5srKAsfoGAYbyiOP7Kjzk1+b0s2nbZBZQK0eYZZ9WcLggeQ0gA==" saltValue="R6PUi71SDG1k5fWXkWYbgA==" spinCount="100000" sheet="1" objects="1" scenarios="1"/>
  <dataConsolidate/>
  <phoneticPr fontId="6" type="noConversion"/>
  <dataValidations count="3">
    <dataValidation type="custom" allowBlank="1" showInputMessage="1" showErrorMessage="1" sqref="F2:F10" xr:uid="{EF258FE7-22F4-43CB-B70F-5E0D8495D9FA}">
      <formula1>OR(ISNUMBER(F2),F2="חור")</formula1>
    </dataValidation>
    <dataValidation type="date" operator="lessThan" allowBlank="1" showInputMessage="1" showErrorMessage="1" sqref="A2:A10" xr:uid="{73DE104B-5A06-400E-A19C-62364C276DCB}">
      <formula1>2958465</formula1>
    </dataValidation>
    <dataValidation type="list" allowBlank="1" showInputMessage="1" showErrorMessage="1" sqref="E2:E10" xr:uid="{3A5E67BA-4C6A-40BD-A190-D50F9CC5B771}">
      <formula1>clmnFullNamesFP</formula1>
    </dataValidation>
  </dataValidations>
  <printOptions horizontalCentered="1"/>
  <pageMargins left="3.937007874015748E-2" right="3.937007874015748E-2" top="0.39370078740157483" bottom="0.39370078740157483" header="0.11811023622047245" footer="0.11811023622047245"/>
  <pageSetup paperSize="9" scale="29" fitToHeight="0" orientation="portrait" r:id="rId1"/>
  <headerFooter>
    <oddHeader>&amp;L&amp;D, &amp;T&amp;Rקובץ: &amp;F
גיליון: &amp;A</oddHeader>
    <oddFooter>&amp;Cעמוד &amp;P מתוך &amp;N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D99651-9D73-43D2-8D00-67A4CAB68BB4}">
          <x14:formula1>
            <xm:f>'גיליון טכני'!$I$2:$I$10</xm:f>
          </x14:formula1>
          <xm:sqref>D2:D10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BFCDB-B853-4337-82F5-916620FAEEA6}">
  <sheetPr codeName="גיליון5">
    <tabColor theme="7" tint="0.39997558519241921"/>
    <pageSetUpPr fitToPage="1"/>
  </sheetPr>
  <dimension ref="A1:N6"/>
  <sheetViews>
    <sheetView rightToLeft="1" zoomScaleNormal="100" workbookViewId="0">
      <selection activeCell="H20" sqref="H20"/>
    </sheetView>
  </sheetViews>
  <sheetFormatPr defaultRowHeight="13.8"/>
  <cols>
    <col min="1" max="1" width="9.8984375" style="2" bestFit="1" customWidth="1"/>
    <col min="2" max="2" width="18.59765625" style="2" bestFit="1" customWidth="1"/>
    <col min="3" max="3" width="18.8984375" style="2" bestFit="1" customWidth="1"/>
    <col min="4" max="4" width="12.59765625" style="2" bestFit="1" customWidth="1"/>
    <col min="5" max="5" width="15.09765625" bestFit="1" customWidth="1"/>
    <col min="6" max="6" width="52.5" customWidth="1"/>
    <col min="7" max="7" width="11.59765625" bestFit="1" customWidth="1"/>
    <col min="8" max="8" width="8.3984375" bestFit="1" customWidth="1"/>
    <col min="9" max="9" width="5.3984375" style="31" bestFit="1" customWidth="1"/>
    <col min="10" max="10" width="10.19921875" style="31" bestFit="1" customWidth="1"/>
    <col min="11" max="11" width="20" style="31" bestFit="1" customWidth="1"/>
    <col min="12" max="12" width="10.69921875" bestFit="1" customWidth="1"/>
    <col min="13" max="13" width="7" bestFit="1" customWidth="1"/>
    <col min="14" max="14" width="6.19921875" bestFit="1" customWidth="1"/>
  </cols>
  <sheetData>
    <row r="1" spans="1:14">
      <c r="A1" s="2" t="s">
        <v>18</v>
      </c>
      <c r="B1" s="37" t="s">
        <v>231</v>
      </c>
      <c r="C1" t="s">
        <v>92</v>
      </c>
      <c r="D1" t="s">
        <v>93</v>
      </c>
      <c r="E1" t="s">
        <v>27</v>
      </c>
      <c r="F1" s="31" t="s">
        <v>28</v>
      </c>
      <c r="G1" s="31" t="s">
        <v>29</v>
      </c>
      <c r="H1" s="31" t="s">
        <v>30</v>
      </c>
      <c r="I1" s="37" t="s">
        <v>31</v>
      </c>
      <c r="J1" s="125" t="s">
        <v>53</v>
      </c>
      <c r="K1" t="s">
        <v>22</v>
      </c>
      <c r="L1" s="193" t="s">
        <v>303</v>
      </c>
      <c r="M1" s="193" t="s">
        <v>304</v>
      </c>
      <c r="N1" s="193" t="s">
        <v>305</v>
      </c>
    </row>
    <row r="2" spans="1:14" ht="41.4">
      <c r="A2" s="126">
        <v>45570</v>
      </c>
      <c r="B2" s="381" t="b">
        <f ca="1">tbPerfReview[[#This Row],[תאריך]]&gt;=yearAgoCell</f>
        <v>1</v>
      </c>
      <c r="C2" t="s">
        <v>684</v>
      </c>
      <c r="D2" t="s">
        <v>687</v>
      </c>
      <c r="E2" t="s">
        <v>188</v>
      </c>
      <c r="F2" s="31" t="s">
        <v>694</v>
      </c>
      <c r="G2" s="31" t="s">
        <v>694</v>
      </c>
      <c r="H2" s="31" t="s">
        <v>694</v>
      </c>
      <c r="I2" s="37">
        <f>_xlfn.XLOOKUP(tbPerfReview[[#This Row],[ציון מילולי]],lsOptRvew[ביקורות],lsOptRvew[מספרי],"",0,1)</f>
        <v>10</v>
      </c>
      <c r="J2" s="125" t="s">
        <v>285</v>
      </c>
      <c r="K2" t="s">
        <v>344</v>
      </c>
      <c r="L2" s="382">
        <f>DAY(tbPerfReview[[#This Row],[תאריך]])</f>
        <v>5</v>
      </c>
      <c r="M2" s="382">
        <f>MONTH(tbPerfReview[[#This Row],[תאריך]])</f>
        <v>10</v>
      </c>
      <c r="N2" s="382">
        <f>YEAR(tbPerfReview[[#This Row],[תאריך]])</f>
        <v>2024</v>
      </c>
    </row>
    <row r="3" spans="1:14" ht="41.4">
      <c r="A3" s="126">
        <v>45570</v>
      </c>
      <c r="B3" s="381" t="b">
        <f ca="1">tbPerfReview[[#This Row],[תאריך]]&gt;=yearAgoCell</f>
        <v>1</v>
      </c>
      <c r="C3" t="s">
        <v>684</v>
      </c>
      <c r="D3" t="s">
        <v>695</v>
      </c>
      <c r="E3" t="s">
        <v>188</v>
      </c>
      <c r="F3" s="31" t="s">
        <v>694</v>
      </c>
      <c r="G3" s="31" t="s">
        <v>694</v>
      </c>
      <c r="H3" s="31" t="s">
        <v>694</v>
      </c>
      <c r="I3" s="37">
        <f>_xlfn.XLOOKUP(tbPerfReview[[#This Row],[ציון מילולי]],lsOptRvew[ביקורות],lsOptRvew[מספרי],"",0,1)</f>
        <v>5</v>
      </c>
      <c r="J3" s="125" t="s">
        <v>230</v>
      </c>
      <c r="K3" t="s">
        <v>344</v>
      </c>
      <c r="L3" s="382">
        <f>DAY(tbPerfReview[[#This Row],[תאריך]])</f>
        <v>5</v>
      </c>
      <c r="M3" s="382">
        <f>MONTH(tbPerfReview[[#This Row],[תאריך]])</f>
        <v>10</v>
      </c>
      <c r="N3" s="382">
        <f>YEAR(tbPerfReview[[#This Row],[תאריך]])</f>
        <v>2024</v>
      </c>
    </row>
    <row r="4" spans="1:14" ht="41.4">
      <c r="A4" s="126">
        <v>45570</v>
      </c>
      <c r="B4" s="381" t="b">
        <f ca="1">tbPerfReview[[#This Row],[תאריך]]&gt;=yearAgoCell</f>
        <v>1</v>
      </c>
      <c r="C4" t="s">
        <v>684</v>
      </c>
      <c r="D4" t="s">
        <v>696</v>
      </c>
      <c r="E4" t="s">
        <v>188</v>
      </c>
      <c r="F4" s="31" t="s">
        <v>694</v>
      </c>
      <c r="G4" s="31" t="s">
        <v>694</v>
      </c>
      <c r="H4" s="31" t="s">
        <v>694</v>
      </c>
      <c r="I4" s="37">
        <f>_xlfn.XLOOKUP(tbPerfReview[[#This Row],[ציון מילולי]],lsOptRvew[ביקורות],lsOptRvew[מספרי],"",0,1)</f>
        <v>5</v>
      </c>
      <c r="J4" s="125" t="s">
        <v>230</v>
      </c>
      <c r="K4" t="s">
        <v>344</v>
      </c>
      <c r="L4" s="382">
        <f>DAY(tbPerfReview[[#This Row],[תאריך]])</f>
        <v>5</v>
      </c>
      <c r="M4" s="382">
        <f>MONTH(tbPerfReview[[#This Row],[תאריך]])</f>
        <v>10</v>
      </c>
      <c r="N4" s="382">
        <f>YEAR(tbPerfReview[[#This Row],[תאריך]])</f>
        <v>2024</v>
      </c>
    </row>
    <row r="5" spans="1:14" ht="41.4">
      <c r="A5" s="126">
        <v>45570</v>
      </c>
      <c r="B5" s="381" t="b">
        <f ca="1">tbPerfReview[[#This Row],[תאריך]]&gt;=yearAgoCell</f>
        <v>1</v>
      </c>
      <c r="C5" t="s">
        <v>684</v>
      </c>
      <c r="D5" t="s">
        <v>697</v>
      </c>
      <c r="E5" t="s">
        <v>188</v>
      </c>
      <c r="F5" s="31" t="s">
        <v>694</v>
      </c>
      <c r="G5" s="31" t="s">
        <v>694</v>
      </c>
      <c r="H5" s="31" t="s">
        <v>694</v>
      </c>
      <c r="I5" s="37" t="str">
        <f>_xlfn.XLOOKUP(tbPerfReview[[#This Row],[ציון מילולי]],lsOptRvew[ביקורות],lsOptRvew[מספרי],"",0,1)</f>
        <v>בקרה</v>
      </c>
      <c r="J5" s="125" t="s">
        <v>58</v>
      </c>
      <c r="K5" t="s">
        <v>344</v>
      </c>
      <c r="L5" s="382">
        <f>DAY(tbPerfReview[[#This Row],[תאריך]])</f>
        <v>5</v>
      </c>
      <c r="M5" s="382">
        <f>MONTH(tbPerfReview[[#This Row],[תאריך]])</f>
        <v>10</v>
      </c>
      <c r="N5" s="382">
        <f>YEAR(tbPerfReview[[#This Row],[תאריך]])</f>
        <v>2024</v>
      </c>
    </row>
    <row r="6" spans="1:14" ht="41.4">
      <c r="A6" s="126">
        <v>45570</v>
      </c>
      <c r="B6" s="381" t="b">
        <f ca="1">tbPerfReview[[#This Row],[תאריך]]&gt;=yearAgoCell</f>
        <v>1</v>
      </c>
      <c r="C6" t="s">
        <v>684</v>
      </c>
      <c r="D6" t="s">
        <v>685</v>
      </c>
      <c r="E6" t="s">
        <v>188</v>
      </c>
      <c r="F6" s="31" t="s">
        <v>694</v>
      </c>
      <c r="G6" s="31" t="s">
        <v>694</v>
      </c>
      <c r="H6" s="31" t="s">
        <v>694</v>
      </c>
      <c r="I6" s="37">
        <f>_xlfn.XLOOKUP(tbPerfReview[[#This Row],[ציון מילולי]],lsOptRvew[ביקורות],lsOptRvew[מספרי],"",0,1)</f>
        <v>10</v>
      </c>
      <c r="J6" s="125" t="s">
        <v>285</v>
      </c>
      <c r="K6" t="s">
        <v>344</v>
      </c>
      <c r="L6" s="382">
        <f>DAY(tbPerfReview[[#This Row],[תאריך]])</f>
        <v>5</v>
      </c>
      <c r="M6" s="382">
        <f>MONTH(tbPerfReview[[#This Row],[תאריך]])</f>
        <v>10</v>
      </c>
      <c r="N6" s="382">
        <f>YEAR(tbPerfReview[[#This Row],[תאריך]])</f>
        <v>2024</v>
      </c>
    </row>
  </sheetData>
  <sheetProtection algorithmName="SHA-512" hashValue="4vCF8q6okG5qt4JJAxXiySBvUHLap46kTJ0zg+FBpiSYT6ASC4lh15YLt9sRIVnbJ3FwBtXDe15LZSU4tiRD+A==" saltValue="bnGf43uOQYziIGZ6ToOtJA==" spinCount="100000" sheet="1" objects="1" scenarios="1"/>
  <phoneticPr fontId="6" type="noConversion"/>
  <dataValidations count="2">
    <dataValidation type="list" allowBlank="1" showInputMessage="1" showErrorMessage="1" sqref="D2:D6" xr:uid="{30C2E622-EB65-459D-913E-56F11BEBCB35}">
      <formula1>clmnFullNamesFP</formula1>
    </dataValidation>
    <dataValidation type="date" operator="lessThan" allowBlank="1" showInputMessage="1" showErrorMessage="1" sqref="L2:N6 A2:A6" xr:uid="{D30D7A47-1978-4725-A528-16634D48F06E}">
      <formula1>2958465</formula1>
    </dataValidation>
  </dataValidations>
  <printOptions horizontalCentered="1"/>
  <pageMargins left="3.937007874015748E-2" right="3.937007874015748E-2" top="0.39370078740157483" bottom="0.39370078740157483" header="0.11811023622047245" footer="0.11811023622047245"/>
  <pageSetup paperSize="9" scale="43" fitToHeight="0" orientation="portrait" r:id="rId1"/>
  <headerFooter>
    <oddHeader>&amp;L&amp;D, &amp;T&amp;Rקובץ: &amp;F
גיליון: &amp;A</oddHeader>
    <oddFooter>&amp;Cעמוד &amp;P מתוך &amp;N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B2772E-8D3E-4B9C-89FE-3E2D204232F1}">
          <x14:formula1>
            <xm:f>'גיליון טכני'!$K$10:$K$21</xm:f>
          </x14:formula1>
          <xm:sqref>E2:E6</xm:sqref>
        </x14:dataValidation>
        <x14:dataValidation type="list" allowBlank="1" showInputMessage="1" showErrorMessage="1" xr:uid="{6AFED0DE-2839-4E27-AB76-7CF72CF91F7C}">
          <x14:formula1>
            <xm:f>'גיליון טכני'!$O$2:$O$5</xm:f>
          </x14:formula1>
          <xm:sqref>J2:J6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87EF8-1D40-425F-8150-A7334775BE62}">
  <sheetPr codeName="גיליון6">
    <tabColor theme="7" tint="0.39997558519241921"/>
    <pageSetUpPr fitToPage="1"/>
  </sheetPr>
  <dimension ref="A1:O10"/>
  <sheetViews>
    <sheetView rightToLeft="1" zoomScaleNormal="100" workbookViewId="0">
      <selection activeCell="D2" sqref="D2:D3"/>
    </sheetView>
  </sheetViews>
  <sheetFormatPr defaultRowHeight="13.8"/>
  <cols>
    <col min="1" max="1" width="9.8984375" style="2" bestFit="1" customWidth="1"/>
    <col min="4" max="4" width="11.3984375" bestFit="1" customWidth="1"/>
    <col min="10" max="10" width="10.19921875" bestFit="1" customWidth="1"/>
    <col min="11" max="11" width="37.69921875" bestFit="1" customWidth="1"/>
    <col min="14" max="14" width="9.8984375" bestFit="1" customWidth="1"/>
  </cols>
  <sheetData>
    <row r="1" spans="1:15">
      <c r="A1" s="2" t="s">
        <v>18</v>
      </c>
      <c r="B1" s="37" t="s">
        <v>231</v>
      </c>
      <c r="C1" t="s">
        <v>92</v>
      </c>
      <c r="D1" t="s">
        <v>93</v>
      </c>
      <c r="E1" t="s">
        <v>32</v>
      </c>
      <c r="F1" t="s">
        <v>28</v>
      </c>
      <c r="G1" t="s">
        <v>29</v>
      </c>
      <c r="H1" t="s">
        <v>30</v>
      </c>
      <c r="I1" s="37" t="s">
        <v>31</v>
      </c>
      <c r="J1" s="125" t="s">
        <v>53</v>
      </c>
      <c r="K1" t="s">
        <v>22</v>
      </c>
      <c r="L1" s="193" t="s">
        <v>303</v>
      </c>
      <c r="M1" s="193" t="s">
        <v>304</v>
      </c>
      <c r="N1" s="193" t="s">
        <v>305</v>
      </c>
    </row>
    <row r="2" spans="1:15">
      <c r="A2" s="118">
        <v>45572</v>
      </c>
      <c r="B2" s="381" t="b">
        <f ca="1">tbDrills[[#This Row],[תאריך]]&gt;=yearAgoCell</f>
        <v>1</v>
      </c>
      <c r="C2" t="s">
        <v>684</v>
      </c>
      <c r="D2" t="s">
        <v>681</v>
      </c>
      <c r="E2" t="s">
        <v>694</v>
      </c>
      <c r="F2" t="s">
        <v>698</v>
      </c>
      <c r="G2" t="s">
        <v>698</v>
      </c>
      <c r="H2" t="s">
        <v>698</v>
      </c>
      <c r="I2" s="37" t="str">
        <f>_xlfn.XLOOKUP(tbDrills[[#This Row],[ציון מילולי]],lsOptDrill[תרגילים],lsOptDrill[מספרי],"",0,1)</f>
        <v>לימודי</v>
      </c>
      <c r="J2" s="383" t="s">
        <v>57</v>
      </c>
      <c r="K2" s="202" t="s">
        <v>698</v>
      </c>
      <c r="L2" s="193">
        <f>DAY(tbDrills[[#This Row],[תאריך]])</f>
        <v>7</v>
      </c>
      <c r="M2" s="382">
        <f>MONTH(tbDrills[[#This Row],[תאריך]])</f>
        <v>10</v>
      </c>
      <c r="N2" s="382">
        <f>YEAR(tbDrills[[#This Row],[תאריך]])</f>
        <v>2024</v>
      </c>
    </row>
    <row r="3" spans="1:15">
      <c r="A3" s="118">
        <v>45572</v>
      </c>
      <c r="B3" s="381" t="b">
        <f ca="1">tbDrills[[#This Row],[תאריך]]&gt;=yearAgoCell</f>
        <v>1</v>
      </c>
      <c r="C3" t="s">
        <v>684</v>
      </c>
      <c r="D3" t="s">
        <v>699</v>
      </c>
      <c r="E3" t="s">
        <v>694</v>
      </c>
      <c r="F3" t="s">
        <v>698</v>
      </c>
      <c r="G3" t="s">
        <v>698</v>
      </c>
      <c r="H3" t="s">
        <v>698</v>
      </c>
      <c r="I3" s="37">
        <f>_xlfn.XLOOKUP(tbDrills[[#This Row],[ציון מילולי]],lsOptDrill[תרגילים],lsOptDrill[מספרי],"",0,1)</f>
        <v>5</v>
      </c>
      <c r="J3" s="383" t="s">
        <v>55</v>
      </c>
      <c r="K3" s="202" t="s">
        <v>698</v>
      </c>
      <c r="L3" s="193">
        <f>DAY(tbDrills[[#This Row],[תאריך]])</f>
        <v>7</v>
      </c>
      <c r="M3" s="382">
        <f>MONTH(tbDrills[[#This Row],[תאריך]])</f>
        <v>10</v>
      </c>
      <c r="N3" s="382">
        <f>YEAR(tbDrills[[#This Row],[תאריך]])</f>
        <v>2024</v>
      </c>
    </row>
    <row r="4" spans="1:15">
      <c r="A4" s="118">
        <v>45572</v>
      </c>
      <c r="B4" s="381" t="b">
        <f ca="1">tbDrills[[#This Row],[תאריך]]&gt;=yearAgoCell</f>
        <v>1</v>
      </c>
      <c r="C4" t="s">
        <v>684</v>
      </c>
      <c r="D4" t="s">
        <v>687</v>
      </c>
      <c r="E4" t="s">
        <v>694</v>
      </c>
      <c r="F4" t="s">
        <v>698</v>
      </c>
      <c r="G4" t="s">
        <v>698</v>
      </c>
      <c r="H4" t="s">
        <v>698</v>
      </c>
      <c r="I4" s="37">
        <f>_xlfn.XLOOKUP(tbDrills[[#This Row],[ציון מילולי]],lsOptDrill[תרגילים],lsOptDrill[מספרי],"",0,1)</f>
        <v>5</v>
      </c>
      <c r="J4" s="383" t="s">
        <v>55</v>
      </c>
      <c r="K4" s="202" t="s">
        <v>698</v>
      </c>
      <c r="L4" s="193">
        <f>DAY(tbDrills[[#This Row],[תאריך]])</f>
        <v>7</v>
      </c>
      <c r="M4" s="382">
        <f>MONTH(tbDrills[[#This Row],[תאריך]])</f>
        <v>10</v>
      </c>
      <c r="N4" s="382">
        <f>YEAR(tbDrills[[#This Row],[תאריך]])</f>
        <v>2024</v>
      </c>
    </row>
    <row r="5" spans="1:15">
      <c r="A5" s="118">
        <v>45572</v>
      </c>
      <c r="B5" s="381" t="b">
        <f ca="1">tbDrills[[#This Row],[תאריך]]&gt;=yearAgoCell</f>
        <v>1</v>
      </c>
      <c r="C5" t="s">
        <v>684</v>
      </c>
      <c r="D5" t="s">
        <v>685</v>
      </c>
      <c r="E5" t="s">
        <v>694</v>
      </c>
      <c r="F5" t="s">
        <v>698</v>
      </c>
      <c r="G5" t="s">
        <v>698</v>
      </c>
      <c r="H5" t="s">
        <v>698</v>
      </c>
      <c r="I5" s="37">
        <f>_xlfn.XLOOKUP(tbDrills[[#This Row],[ציון מילולי]],lsOptDrill[תרגילים],lsOptDrill[מספרי],"",0,1)</f>
        <v>0</v>
      </c>
      <c r="J5" s="383" t="s">
        <v>54</v>
      </c>
      <c r="K5" s="202" t="s">
        <v>698</v>
      </c>
      <c r="L5" s="193">
        <f>DAY(tbDrills[[#This Row],[תאריך]])</f>
        <v>7</v>
      </c>
      <c r="M5" s="382">
        <f>MONTH(tbDrills[[#This Row],[תאריך]])</f>
        <v>10</v>
      </c>
      <c r="N5" s="382">
        <f>YEAR(tbDrills[[#This Row],[תאריך]])</f>
        <v>2024</v>
      </c>
    </row>
    <row r="6" spans="1:15">
      <c r="A6" s="118">
        <v>45572</v>
      </c>
      <c r="B6" s="381" t="b">
        <f ca="1">tbDrills[[#This Row],[תאריך]]&gt;=yearAgoCell</f>
        <v>1</v>
      </c>
      <c r="C6" t="s">
        <v>684</v>
      </c>
      <c r="D6" t="s">
        <v>700</v>
      </c>
      <c r="E6" t="s">
        <v>694</v>
      </c>
      <c r="F6" t="s">
        <v>698</v>
      </c>
      <c r="G6" t="s">
        <v>698</v>
      </c>
      <c r="H6" t="s">
        <v>698</v>
      </c>
      <c r="I6" s="37">
        <f>_xlfn.XLOOKUP(tbDrills[[#This Row],[ציון מילולי]],lsOptDrill[תרגילים],lsOptDrill[מספרי],"",0,1)</f>
        <v>10</v>
      </c>
      <c r="J6" s="383" t="s">
        <v>56</v>
      </c>
      <c r="K6" s="202" t="s">
        <v>698</v>
      </c>
      <c r="L6" s="193">
        <f>DAY(tbDrills[[#This Row],[תאריך]])</f>
        <v>7</v>
      </c>
      <c r="M6" s="382">
        <f>MONTH(tbDrills[[#This Row],[תאריך]])</f>
        <v>10</v>
      </c>
      <c r="N6" s="382">
        <f>YEAR(tbDrills[[#This Row],[תאריך]])</f>
        <v>2024</v>
      </c>
    </row>
    <row r="8" spans="1:15">
      <c r="O8" s="2"/>
    </row>
    <row r="10" spans="1:15">
      <c r="O10" s="2"/>
    </row>
  </sheetData>
  <sheetProtection algorithmName="SHA-512" hashValue="wjNNoX7JNq2HQBRCIF5UFwpGD2mdFnbsLaB0mkYSjfcL8BAo2fEwXWQAy0NijjKoLCdJK6B9TlArC14Ii/31Jw==" saltValue="b25L9soKEN4OzzzuBXDKrQ==" spinCount="100000" sheet="1" objects="1" scenarios="1"/>
  <dataValidations count="2">
    <dataValidation type="date" operator="lessThan" allowBlank="1" showInputMessage="1" showErrorMessage="1" sqref="L2:N6 A2:A6" xr:uid="{E5E0B281-560F-453D-BB4E-CC6428E8AB9A}">
      <formula1>2958465</formula1>
    </dataValidation>
    <dataValidation type="list" allowBlank="1" showInputMessage="1" showErrorMessage="1" sqref="D2:D6" xr:uid="{F64B30D4-4CE4-46D7-A496-1A4214B7FADF}">
      <formula1>clmnFullNamesFP</formula1>
    </dataValidation>
  </dataValidations>
  <printOptions horizontalCentered="1"/>
  <pageMargins left="3.937007874015748E-2" right="3.937007874015748E-2" top="0.39370078740157483" bottom="0.39370078740157483" header="0.11811023622047245" footer="0.11811023622047245"/>
  <pageSetup paperSize="9" fitToHeight="0" orientation="portrait" r:id="rId1"/>
  <headerFooter>
    <oddHeader>&amp;L&amp;D, &amp;T&amp;Rקובץ: &amp;F
גיליון: &amp;A</oddHeader>
    <oddFooter>&amp;Cעמוד &amp;P מתוך &amp;N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481B2A-D551-471C-AADD-A70E24FAF56F}">
          <x14:formula1>
            <xm:f>'גיליון טכני'!$K$2:$K$5</xm:f>
          </x14:formula1>
          <xm:sqref>I2:I6</xm:sqref>
        </x14:dataValidation>
        <x14:dataValidation type="list" allowBlank="1" showInputMessage="1" showErrorMessage="1" xr:uid="{B1A2CBCC-01C3-4D4F-84EC-6BF1E729D385}">
          <x14:formula1>
            <xm:f>'גיליון טכני'!$L$2:$L$5</xm:f>
          </x14:formula1>
          <xm:sqref>J2:J6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D7D0-89DF-4C4D-8A50-C1F009455678}">
  <sheetPr codeName="Worksheet______1">
    <tabColor rgb="FFCC6600"/>
  </sheetPr>
  <dimension ref="A1:O160"/>
  <sheetViews>
    <sheetView rightToLeft="1" zoomScale="85" zoomScaleNormal="85" workbookViewId="0">
      <selection activeCell="D5" sqref="D5"/>
    </sheetView>
  </sheetViews>
  <sheetFormatPr defaultColWidth="14.3984375" defaultRowHeight="30" customHeight="1"/>
  <cols>
    <col min="1" max="1" width="12.59765625" style="218" customWidth="1"/>
    <col min="2" max="2" width="11.59765625" style="218" customWidth="1"/>
    <col min="3" max="3" width="13.59765625" style="218" customWidth="1"/>
    <col min="4" max="4" width="12.59765625" style="218" customWidth="1"/>
    <col min="5" max="5" width="11.59765625" style="218" customWidth="1"/>
    <col min="6" max="6" width="13.59765625" style="218" customWidth="1"/>
    <col min="7" max="7" width="12.59765625" style="218" customWidth="1"/>
    <col min="8" max="8" width="11.59765625" style="218" customWidth="1"/>
    <col min="9" max="9" width="13.59765625" style="218" customWidth="1"/>
    <col min="10" max="10" width="8.59765625" style="218" customWidth="1"/>
    <col min="11" max="16384" width="14.3984375" style="218"/>
  </cols>
  <sheetData>
    <row r="1" spans="1:15" ht="30" customHeight="1" thickBot="1"/>
    <row r="2" spans="1:15" ht="30" customHeight="1" thickBot="1">
      <c r="A2" s="344" t="s">
        <v>0</v>
      </c>
      <c r="B2" s="345" t="s">
        <v>1</v>
      </c>
      <c r="C2" s="345" t="s">
        <v>331</v>
      </c>
      <c r="D2" s="345" t="s">
        <v>0</v>
      </c>
      <c r="E2" s="345" t="s">
        <v>1</v>
      </c>
      <c r="F2" s="346" t="s">
        <v>331</v>
      </c>
      <c r="G2" s="347" t="s">
        <v>0</v>
      </c>
      <c r="H2" s="345" t="s">
        <v>1</v>
      </c>
      <c r="I2" s="346" t="s">
        <v>331</v>
      </c>
      <c r="L2" s="218">
        <f>IF(M2&lt;&gt;"",L1+1,"")</f>
        <v>1</v>
      </c>
      <c r="M2" s="218" t="str" cm="1">
        <f t="array" ref="M2:O48">_xlfn._xlws.SORT(_xlfn._xlws.FILTER(INDEX(tbEmploDetails[],_xlfn.SEQUENCE(ROWS(tbEmploDetails[])),{1,2,5}),(tbEmploDetails[האם פעיל]="פעיל") * (tbEmploDetails[תפקיד]&lt;&gt;"אחר")  * (tbEmploDetails[תפקיד]&lt;&gt;"נהג"),"0000"),1,1,FALSE)</f>
        <v>אבידן</v>
      </c>
      <c r="N2" s="218" t="str">
        <v>שירה</v>
      </c>
      <c r="O2" s="218" t="str">
        <v>054-8765432</v>
      </c>
    </row>
    <row r="3" spans="1:15" ht="30" customHeight="1" thickTop="1">
      <c r="A3" s="348"/>
      <c r="B3" s="222"/>
      <c r="C3" s="223"/>
      <c r="D3" s="224"/>
      <c r="E3" s="225"/>
      <c r="F3" s="226"/>
      <c r="G3" s="227"/>
      <c r="H3" s="228"/>
      <c r="I3" s="349"/>
      <c r="L3" s="218">
        <f t="shared" ref="L3:L66" si="0">IF(M3&lt;&gt;"",L2+1,"")</f>
        <v>2</v>
      </c>
      <c r="M3" s="218" t="str">
        <v>אורן</v>
      </c>
      <c r="N3" s="218" t="str">
        <v>עומר</v>
      </c>
      <c r="O3" s="218" t="str">
        <v>054-9876543</v>
      </c>
    </row>
    <row r="4" spans="1:15" ht="30" customHeight="1">
      <c r="A4" s="350"/>
      <c r="B4" s="229"/>
      <c r="C4" s="230"/>
      <c r="D4" s="231"/>
      <c r="E4" s="232"/>
      <c r="F4" s="233"/>
      <c r="G4" s="227"/>
      <c r="H4" s="228"/>
      <c r="I4" s="349"/>
      <c r="L4" s="218">
        <f t="shared" si="0"/>
        <v>3</v>
      </c>
      <c r="M4" s="218" t="str">
        <v>אלון</v>
      </c>
      <c r="N4" s="218" t="str">
        <v>עומר</v>
      </c>
      <c r="O4" s="218" t="str">
        <v>058-7654321</v>
      </c>
    </row>
    <row r="5" spans="1:15" ht="30" customHeight="1">
      <c r="A5" s="350"/>
      <c r="B5" s="229"/>
      <c r="C5" s="230"/>
      <c r="D5" s="234"/>
      <c r="E5" s="225"/>
      <c r="F5" s="235"/>
      <c r="G5" s="227"/>
      <c r="H5" s="228"/>
      <c r="I5" s="349"/>
      <c r="L5" s="218">
        <f t="shared" si="0"/>
        <v>4</v>
      </c>
      <c r="M5" s="218" t="str">
        <v>אלוני</v>
      </c>
      <c r="N5" s="218" t="str">
        <v>רועי</v>
      </c>
      <c r="O5" s="218" t="str">
        <v>050-8765432</v>
      </c>
    </row>
    <row r="6" spans="1:15" ht="30" customHeight="1" thickBot="1">
      <c r="A6" s="351"/>
      <c r="B6" s="236"/>
      <c r="C6" s="237"/>
      <c r="D6" s="234"/>
      <c r="E6" s="225"/>
      <c r="F6" s="235"/>
      <c r="G6" s="227"/>
      <c r="H6" s="228"/>
      <c r="I6" s="349"/>
      <c r="L6" s="218">
        <f t="shared" si="0"/>
        <v>5</v>
      </c>
      <c r="M6" s="218" t="str">
        <v>בלום</v>
      </c>
      <c r="N6" s="218" t="str">
        <v>גיל</v>
      </c>
      <c r="O6" s="218" t="str">
        <v>054-6543210</v>
      </c>
    </row>
    <row r="7" spans="1:15" ht="30" customHeight="1" thickTop="1">
      <c r="A7" s="352"/>
      <c r="B7" s="225"/>
      <c r="C7" s="238"/>
      <c r="D7" s="234"/>
      <c r="E7" s="225"/>
      <c r="F7" s="235"/>
      <c r="G7" s="227"/>
      <c r="H7" s="228"/>
      <c r="I7" s="349"/>
      <c r="L7" s="218">
        <f t="shared" si="0"/>
        <v>6</v>
      </c>
      <c r="M7" s="218" t="str">
        <v>בן ארי</v>
      </c>
      <c r="N7" s="218" t="str">
        <v>יעל</v>
      </c>
      <c r="O7" s="218" t="str">
        <v>050-9876543</v>
      </c>
    </row>
    <row r="8" spans="1:15" ht="30" customHeight="1">
      <c r="A8" s="352"/>
      <c r="B8" s="225"/>
      <c r="C8" s="238"/>
      <c r="D8" s="234"/>
      <c r="E8" s="225"/>
      <c r="F8" s="235"/>
      <c r="G8" s="227"/>
      <c r="H8" s="228"/>
      <c r="I8" s="349"/>
      <c r="L8" s="218">
        <f t="shared" si="0"/>
        <v>7</v>
      </c>
      <c r="M8" s="218" t="str">
        <v>בן דוד</v>
      </c>
      <c r="N8" s="218" t="str">
        <v>מאיה</v>
      </c>
      <c r="O8" s="218" t="str">
        <v>053-8765432</v>
      </c>
    </row>
    <row r="9" spans="1:15" ht="30" customHeight="1">
      <c r="A9" s="352"/>
      <c r="B9" s="225"/>
      <c r="C9" s="238"/>
      <c r="D9" s="234"/>
      <c r="E9" s="225"/>
      <c r="F9" s="235"/>
      <c r="G9" s="227"/>
      <c r="H9" s="228"/>
      <c r="I9" s="349"/>
      <c r="L9" s="218">
        <f t="shared" si="0"/>
        <v>8</v>
      </c>
      <c r="M9" s="218" t="str">
        <v>ברגר</v>
      </c>
      <c r="N9" s="218" t="str">
        <v>סיוון</v>
      </c>
      <c r="O9" s="218" t="str">
        <v>052-9876543</v>
      </c>
    </row>
    <row r="10" spans="1:15" ht="30" customHeight="1">
      <c r="A10" s="352"/>
      <c r="B10" s="225"/>
      <c r="C10" s="238"/>
      <c r="D10" s="367"/>
      <c r="E10" s="225"/>
      <c r="F10" s="235"/>
      <c r="G10" s="366"/>
      <c r="H10" s="228"/>
      <c r="I10" s="349"/>
      <c r="L10" s="218">
        <f t="shared" si="0"/>
        <v>9</v>
      </c>
      <c r="M10" s="218" t="str">
        <v>ברונר</v>
      </c>
      <c r="N10" s="218" t="str">
        <v>ניב</v>
      </c>
      <c r="O10" s="218" t="str">
        <v>050-8765432</v>
      </c>
    </row>
    <row r="11" spans="1:15" ht="30" customHeight="1">
      <c r="A11" s="352"/>
      <c r="B11" s="225"/>
      <c r="C11" s="238"/>
      <c r="D11" s="234"/>
      <c r="E11" s="225"/>
      <c r="F11" s="235"/>
      <c r="G11" s="227"/>
      <c r="H11" s="228"/>
      <c r="I11" s="349"/>
      <c r="L11" s="218">
        <f t="shared" si="0"/>
        <v>10</v>
      </c>
      <c r="M11" s="218" t="str">
        <v>ברוש</v>
      </c>
      <c r="N11" s="218" t="str">
        <v>עידן</v>
      </c>
      <c r="O11" s="218" t="str">
        <v>054-3456789</v>
      </c>
    </row>
    <row r="12" spans="1:15" ht="30" customHeight="1">
      <c r="A12" s="352"/>
      <c r="B12" s="225"/>
      <c r="C12" s="238"/>
      <c r="D12" s="234"/>
      <c r="E12" s="225"/>
      <c r="F12" s="235"/>
      <c r="G12" s="227"/>
      <c r="H12" s="228"/>
      <c r="I12" s="353"/>
      <c r="L12" s="218">
        <f t="shared" si="0"/>
        <v>11</v>
      </c>
      <c r="M12" s="218" t="str">
        <v>ברק</v>
      </c>
      <c r="N12" s="218" t="str">
        <v>רותם</v>
      </c>
      <c r="O12" s="218" t="str">
        <v>052-7654321</v>
      </c>
    </row>
    <row r="13" spans="1:15" ht="30" customHeight="1">
      <c r="A13" s="352"/>
      <c r="B13" s="225"/>
      <c r="C13" s="226"/>
      <c r="D13" s="234"/>
      <c r="E13" s="225"/>
      <c r="F13" s="235"/>
      <c r="G13" s="227"/>
      <c r="H13" s="228"/>
      <c r="I13" s="353"/>
      <c r="L13" s="218">
        <f t="shared" si="0"/>
        <v>12</v>
      </c>
      <c r="M13" s="218" t="str">
        <v>גבאי</v>
      </c>
      <c r="N13" s="218" t="str">
        <v>אלון</v>
      </c>
      <c r="O13" s="218" t="str">
        <v>050-7654321</v>
      </c>
    </row>
    <row r="14" spans="1:15" ht="30" customHeight="1">
      <c r="A14" s="352"/>
      <c r="B14" s="225"/>
      <c r="C14" s="226"/>
      <c r="D14" s="234"/>
      <c r="E14" s="225"/>
      <c r="F14" s="235"/>
      <c r="G14" s="227"/>
      <c r="H14" s="228"/>
      <c r="I14" s="353"/>
      <c r="L14" s="218">
        <f t="shared" si="0"/>
        <v>13</v>
      </c>
      <c r="M14" s="218" t="str">
        <v>גולדשטיין</v>
      </c>
      <c r="N14" s="218" t="str">
        <v>יאיר</v>
      </c>
      <c r="O14" s="218" t="str">
        <v>053-7654321</v>
      </c>
    </row>
    <row r="15" spans="1:15" ht="30" customHeight="1">
      <c r="A15" s="352"/>
      <c r="B15" s="225"/>
      <c r="C15" s="226"/>
      <c r="D15" s="234"/>
      <c r="E15" s="225"/>
      <c r="F15" s="235"/>
      <c r="G15" s="227"/>
      <c r="H15" s="228"/>
      <c r="I15" s="349"/>
      <c r="L15" s="218">
        <f t="shared" si="0"/>
        <v>14</v>
      </c>
      <c r="M15" s="218" t="str">
        <v>גל</v>
      </c>
      <c r="N15" s="218" t="str">
        <v>יובל</v>
      </c>
      <c r="O15" s="218" t="str">
        <v>055-1234567</v>
      </c>
    </row>
    <row r="16" spans="1:15" ht="30" customHeight="1">
      <c r="A16" s="352"/>
      <c r="B16" s="225"/>
      <c r="C16" s="238"/>
      <c r="D16" s="234"/>
      <c r="E16" s="225"/>
      <c r="F16" s="235"/>
      <c r="G16" s="227"/>
      <c r="H16" s="228"/>
      <c r="I16" s="353"/>
      <c r="L16" s="218">
        <f t="shared" si="0"/>
        <v>15</v>
      </c>
      <c r="M16" s="218" t="str">
        <v>גרין</v>
      </c>
      <c r="N16" s="218" t="str">
        <v>איתי</v>
      </c>
      <c r="O16" s="218" t="str">
        <v>052-3456789</v>
      </c>
    </row>
    <row r="17" spans="1:15" ht="30" customHeight="1">
      <c r="A17" s="352"/>
      <c r="B17" s="225"/>
      <c r="C17" s="226"/>
      <c r="D17" s="234"/>
      <c r="E17" s="225"/>
      <c r="F17" s="235"/>
      <c r="G17" s="227"/>
      <c r="H17" s="228"/>
      <c r="I17" s="353"/>
      <c r="L17" s="218">
        <f t="shared" si="0"/>
        <v>16</v>
      </c>
      <c r="M17" s="218" t="str">
        <v>דיין</v>
      </c>
      <c r="N17" s="218" t="str">
        <v>טל</v>
      </c>
      <c r="O17" s="218" t="str">
        <v>053-8765432</v>
      </c>
    </row>
    <row r="18" spans="1:15" ht="30" customHeight="1">
      <c r="A18" s="352"/>
      <c r="B18" s="225"/>
      <c r="C18" s="226"/>
      <c r="D18" s="234"/>
      <c r="E18" s="225"/>
      <c r="F18" s="235"/>
      <c r="G18" s="227"/>
      <c r="H18" s="228"/>
      <c r="I18" s="353"/>
      <c r="L18" s="218">
        <f t="shared" si="0"/>
        <v>17</v>
      </c>
      <c r="M18" s="218" t="str">
        <v>דקל</v>
      </c>
      <c r="N18" s="218" t="str">
        <v>יעל</v>
      </c>
      <c r="O18" s="218" t="str">
        <v>052-8765432</v>
      </c>
    </row>
    <row r="19" spans="1:15" ht="30" customHeight="1">
      <c r="A19" s="352"/>
      <c r="B19" s="225"/>
      <c r="C19" s="226"/>
      <c r="D19" s="234"/>
      <c r="E19" s="225"/>
      <c r="F19" s="235"/>
      <c r="G19" s="227"/>
      <c r="H19" s="228"/>
      <c r="I19" s="349"/>
      <c r="L19" s="218">
        <f t="shared" si="0"/>
        <v>18</v>
      </c>
      <c r="M19" s="218" t="str">
        <v>דרורי</v>
      </c>
      <c r="N19" s="218" t="str">
        <v>יונתן</v>
      </c>
      <c r="O19" s="218" t="str">
        <v>052-7654321</v>
      </c>
    </row>
    <row r="20" spans="1:15" ht="30" customHeight="1">
      <c r="A20" s="352"/>
      <c r="B20" s="225"/>
      <c r="C20" s="238"/>
      <c r="D20" s="234"/>
      <c r="E20" s="225"/>
      <c r="F20" s="235"/>
      <c r="G20" s="227"/>
      <c r="H20" s="228"/>
      <c r="I20" s="353"/>
      <c r="L20" s="218">
        <f t="shared" si="0"/>
        <v>19</v>
      </c>
      <c r="M20" s="218" t="str">
        <v>הורוביץ</v>
      </c>
      <c r="N20" s="218" t="str">
        <v>יואב</v>
      </c>
      <c r="O20" s="218" t="str">
        <v>054-1234567</v>
      </c>
    </row>
    <row r="21" spans="1:15" ht="30" customHeight="1">
      <c r="A21" s="352"/>
      <c r="B21" s="225"/>
      <c r="C21" s="226"/>
      <c r="D21" s="234"/>
      <c r="E21" s="225"/>
      <c r="F21" s="235"/>
      <c r="G21" s="227"/>
      <c r="H21" s="228"/>
      <c r="I21" s="353"/>
      <c r="L21" s="218">
        <f t="shared" si="0"/>
        <v>20</v>
      </c>
      <c r="M21" s="218" t="str">
        <v>הראל</v>
      </c>
      <c r="N21" s="218" t="str">
        <v>דניאל</v>
      </c>
      <c r="O21" s="218" t="str">
        <v>054-1234567</v>
      </c>
    </row>
    <row r="22" spans="1:15" ht="30" customHeight="1">
      <c r="A22" s="352"/>
      <c r="B22" s="225"/>
      <c r="C22" s="226"/>
      <c r="D22" s="234"/>
      <c r="E22" s="225"/>
      <c r="F22" s="235"/>
      <c r="G22" s="227"/>
      <c r="H22" s="228"/>
      <c r="I22" s="353"/>
      <c r="L22" s="218">
        <f t="shared" si="0"/>
        <v>21</v>
      </c>
      <c r="M22" s="218" t="str">
        <v>הררי</v>
      </c>
      <c r="N22" s="218" t="str">
        <v>יוני</v>
      </c>
      <c r="O22" s="218" t="str">
        <v>054-3456789</v>
      </c>
    </row>
    <row r="23" spans="1:15" ht="30" customHeight="1">
      <c r="A23" s="352"/>
      <c r="B23" s="225"/>
      <c r="C23" s="226"/>
      <c r="D23" s="234"/>
      <c r="E23" s="225"/>
      <c r="F23" s="235"/>
      <c r="G23" s="227"/>
      <c r="H23" s="228"/>
      <c r="I23" s="349"/>
      <c r="L23" s="218">
        <f t="shared" si="0"/>
        <v>22</v>
      </c>
      <c r="M23" s="218" t="str">
        <v>זילברמן</v>
      </c>
      <c r="N23" s="218" t="str">
        <v>איתי</v>
      </c>
      <c r="O23" s="218" t="str">
        <v>058-3456789</v>
      </c>
    </row>
    <row r="24" spans="1:15" ht="30" customHeight="1">
      <c r="A24" s="352"/>
      <c r="B24" s="225"/>
      <c r="C24" s="238"/>
      <c r="D24" s="234"/>
      <c r="E24" s="225"/>
      <c r="F24" s="235"/>
      <c r="G24" s="227"/>
      <c r="H24" s="228"/>
      <c r="I24" s="353"/>
      <c r="L24" s="218">
        <f t="shared" si="0"/>
        <v>23</v>
      </c>
      <c r="M24" s="218" t="str">
        <v>זלצר</v>
      </c>
      <c r="N24" s="218" t="str">
        <v>נועה</v>
      </c>
      <c r="O24" s="218" t="str">
        <v>058-3456789</v>
      </c>
    </row>
    <row r="25" spans="1:15" ht="30" customHeight="1">
      <c r="A25" s="352"/>
      <c r="B25" s="225"/>
      <c r="C25" s="226"/>
      <c r="D25" s="234"/>
      <c r="E25" s="225"/>
      <c r="F25" s="235"/>
      <c r="G25" s="227"/>
      <c r="H25" s="228"/>
      <c r="I25" s="349"/>
      <c r="L25" s="218">
        <f t="shared" si="0"/>
        <v>24</v>
      </c>
      <c r="M25" s="218" t="str">
        <v>כהן</v>
      </c>
      <c r="N25" s="218" t="str">
        <v>אורי</v>
      </c>
      <c r="O25" s="218" t="str">
        <v>050-1234567</v>
      </c>
    </row>
    <row r="26" spans="1:15" ht="30" customHeight="1">
      <c r="A26" s="365"/>
      <c r="B26" s="225"/>
      <c r="C26" s="226"/>
      <c r="D26" s="234"/>
      <c r="E26" s="225"/>
      <c r="F26" s="235"/>
      <c r="G26" s="227"/>
      <c r="H26" s="228"/>
      <c r="I26" s="353"/>
      <c r="L26" s="218">
        <f t="shared" si="0"/>
        <v>25</v>
      </c>
      <c r="M26" s="218" t="str">
        <v>כהן</v>
      </c>
      <c r="N26" s="218" t="str">
        <v>עדי</v>
      </c>
      <c r="O26" s="218" t="str">
        <v>058-1234567</v>
      </c>
    </row>
    <row r="27" spans="1:15" ht="30" customHeight="1">
      <c r="A27" s="352"/>
      <c r="B27" s="225"/>
      <c r="C27" s="226"/>
      <c r="D27" s="234"/>
      <c r="E27" s="225"/>
      <c r="F27" s="235"/>
      <c r="G27" s="227"/>
      <c r="H27" s="228"/>
      <c r="I27" s="349"/>
      <c r="L27" s="218">
        <f t="shared" si="0"/>
        <v>26</v>
      </c>
      <c r="M27" s="218" t="str">
        <v>לרנר</v>
      </c>
      <c r="N27" s="218" t="str">
        <v>יובל</v>
      </c>
      <c r="O27" s="218" t="str">
        <v>050-5678901</v>
      </c>
    </row>
    <row r="28" spans="1:15" ht="30" customHeight="1">
      <c r="A28" s="352"/>
      <c r="B28" s="225"/>
      <c r="C28" s="238"/>
      <c r="D28" s="234"/>
      <c r="E28" s="225"/>
      <c r="F28" s="235"/>
      <c r="G28" s="362"/>
      <c r="H28" s="363" t="s">
        <v>332</v>
      </c>
      <c r="I28" s="361"/>
      <c r="L28" s="218">
        <f t="shared" si="0"/>
        <v>27</v>
      </c>
      <c r="M28" s="218" t="str">
        <v>לרנר</v>
      </c>
      <c r="N28" s="218" t="str">
        <v>אלעד</v>
      </c>
      <c r="O28" s="218" t="str">
        <v>058-6543210</v>
      </c>
    </row>
    <row r="29" spans="1:15" ht="30" customHeight="1">
      <c r="A29" s="352"/>
      <c r="B29" s="225"/>
      <c r="C29" s="226"/>
      <c r="D29" s="234"/>
      <c r="E29" s="225"/>
      <c r="F29" s="235"/>
      <c r="G29" s="227"/>
      <c r="H29" s="228"/>
      <c r="I29" s="353"/>
      <c r="L29" s="218">
        <f t="shared" si="0"/>
        <v>28</v>
      </c>
      <c r="M29" s="218" t="str">
        <v>מגן</v>
      </c>
      <c r="N29" s="218" t="str">
        <v>נדב</v>
      </c>
      <c r="O29" s="218" t="str">
        <v>053-8765432</v>
      </c>
    </row>
    <row r="30" spans="1:15" ht="30" customHeight="1" thickBot="1">
      <c r="A30" s="354"/>
      <c r="B30" s="355"/>
      <c r="C30" s="356"/>
      <c r="D30" s="357"/>
      <c r="E30" s="355"/>
      <c r="F30" s="358"/>
      <c r="G30" s="359"/>
      <c r="H30" s="360"/>
      <c r="I30" s="364"/>
      <c r="L30" s="218">
        <f t="shared" si="0"/>
        <v>29</v>
      </c>
      <c r="M30" s="218" t="str">
        <v>מור</v>
      </c>
      <c r="N30" s="218" t="str">
        <v>ניר</v>
      </c>
      <c r="O30" s="218" t="str">
        <v>052-9876543</v>
      </c>
    </row>
    <row r="31" spans="1:15" ht="30" customHeight="1">
      <c r="L31" s="218">
        <f t="shared" si="0"/>
        <v>30</v>
      </c>
      <c r="M31" s="218" t="str">
        <v>נחשון</v>
      </c>
      <c r="N31" s="218" t="str">
        <v>דנה</v>
      </c>
      <c r="O31" s="218" t="str">
        <v>052-8765432</v>
      </c>
    </row>
    <row r="32" spans="1:15" ht="30" customHeight="1">
      <c r="L32" s="218">
        <f t="shared" si="0"/>
        <v>31</v>
      </c>
      <c r="M32" s="218" t="str">
        <v>פלג</v>
      </c>
      <c r="N32" s="218" t="str">
        <v>נדב</v>
      </c>
      <c r="O32" s="218" t="str">
        <v>053-8765432</v>
      </c>
    </row>
    <row r="33" spans="12:15" ht="30" customHeight="1">
      <c r="L33" s="218">
        <f t="shared" si="0"/>
        <v>32</v>
      </c>
      <c r="M33" s="218" t="str">
        <v>פרידמן</v>
      </c>
      <c r="N33" s="218" t="str">
        <v>רונית</v>
      </c>
      <c r="O33" s="218" t="str">
        <v>050-6543210</v>
      </c>
    </row>
    <row r="34" spans="12:15" ht="30" customHeight="1">
      <c r="L34" s="218">
        <f t="shared" si="0"/>
        <v>33</v>
      </c>
      <c r="M34" s="218" t="str">
        <v>פרץ</v>
      </c>
      <c r="N34" s="218" t="str">
        <v>תמר</v>
      </c>
      <c r="O34" s="218" t="str">
        <v>050-3456789</v>
      </c>
    </row>
    <row r="35" spans="12:15" ht="30" customHeight="1">
      <c r="L35" s="218">
        <f t="shared" si="0"/>
        <v>34</v>
      </c>
      <c r="M35" s="218" t="str">
        <v>קפלן</v>
      </c>
      <c r="N35" s="218" t="str">
        <v>רונית</v>
      </c>
      <c r="O35" s="218" t="str">
        <v>052-7654321</v>
      </c>
    </row>
    <row r="36" spans="12:15" ht="30" customHeight="1">
      <c r="L36" s="218">
        <f t="shared" si="0"/>
        <v>35</v>
      </c>
      <c r="M36" s="218" t="str">
        <v>קרמר</v>
      </c>
      <c r="N36" s="218" t="str">
        <v>דניאל</v>
      </c>
      <c r="O36" s="218" t="str">
        <v>054-7654321</v>
      </c>
    </row>
    <row r="37" spans="12:15" ht="30" customHeight="1">
      <c r="L37" s="218">
        <f t="shared" si="0"/>
        <v>36</v>
      </c>
      <c r="M37" s="218" t="str">
        <v>רוזנבלום</v>
      </c>
      <c r="N37" s="218" t="str">
        <v>טל</v>
      </c>
      <c r="O37" s="218" t="str">
        <v>052-8765432</v>
      </c>
    </row>
    <row r="38" spans="12:15" ht="30" customHeight="1">
      <c r="L38" s="218">
        <f t="shared" si="0"/>
        <v>37</v>
      </c>
      <c r="M38" s="218" t="str">
        <v>רז</v>
      </c>
      <c r="N38" s="218" t="str">
        <v>אלעד</v>
      </c>
      <c r="O38" s="218" t="str">
        <v>058-9876543</v>
      </c>
    </row>
    <row r="39" spans="12:15" ht="30" customHeight="1">
      <c r="L39" s="218">
        <f t="shared" si="0"/>
        <v>38</v>
      </c>
      <c r="M39" s="218" t="str">
        <v>רפפורט</v>
      </c>
      <c r="N39" s="218" t="str">
        <v>תומר</v>
      </c>
      <c r="O39" s="218" t="str">
        <v>058-8765432</v>
      </c>
    </row>
    <row r="40" spans="12:15" ht="30" customHeight="1">
      <c r="L40" s="218">
        <f t="shared" si="0"/>
        <v>39</v>
      </c>
      <c r="M40" s="218" t="str">
        <v>שגיא</v>
      </c>
      <c r="N40" s="218" t="str">
        <v>ליאת</v>
      </c>
      <c r="O40" s="218" t="str">
        <v>052-7654321</v>
      </c>
    </row>
    <row r="41" spans="12:15" ht="30" customHeight="1">
      <c r="L41" s="218">
        <f t="shared" si="0"/>
        <v>40</v>
      </c>
      <c r="M41" s="218" t="str">
        <v>שדה</v>
      </c>
      <c r="N41" s="218" t="str">
        <v>ליאור</v>
      </c>
      <c r="O41" s="218" t="str">
        <v>052-1234567</v>
      </c>
    </row>
    <row r="42" spans="12:15" ht="30" customHeight="1">
      <c r="L42" s="218">
        <f t="shared" si="0"/>
        <v>41</v>
      </c>
      <c r="M42" s="218" t="str">
        <v>שדה</v>
      </c>
      <c r="N42" s="218" t="str">
        <v>יערה</v>
      </c>
      <c r="O42" s="218" t="str">
        <v>054-2345678</v>
      </c>
    </row>
    <row r="43" spans="12:15" ht="30" customHeight="1">
      <c r="L43" s="218">
        <f t="shared" si="0"/>
        <v>42</v>
      </c>
      <c r="M43" s="218" t="str">
        <v>שחם</v>
      </c>
      <c r="N43" s="218" t="str">
        <v>רועי</v>
      </c>
      <c r="O43" s="218" t="str">
        <v>052-2345678</v>
      </c>
    </row>
    <row r="44" spans="12:15" ht="30" customHeight="1">
      <c r="L44" s="218">
        <f t="shared" si="0"/>
        <v>43</v>
      </c>
      <c r="M44" s="218" t="str">
        <v>שמיר</v>
      </c>
      <c r="N44" s="218" t="str">
        <v>אביגיל</v>
      </c>
      <c r="O44" s="218" t="str">
        <v>054-9876543</v>
      </c>
    </row>
    <row r="45" spans="12:15" ht="30" customHeight="1">
      <c r="L45" s="218">
        <f t="shared" si="0"/>
        <v>44</v>
      </c>
      <c r="M45" s="218" t="str">
        <v>שמר</v>
      </c>
      <c r="N45" s="218" t="str">
        <v>גל</v>
      </c>
      <c r="O45" s="218" t="str">
        <v>054-7654321</v>
      </c>
    </row>
    <row r="46" spans="12:15" ht="30" customHeight="1">
      <c r="L46" s="218">
        <f t="shared" si="0"/>
        <v>45</v>
      </c>
      <c r="M46" s="218" t="str">
        <v>שמש</v>
      </c>
      <c r="N46" s="218" t="str">
        <v>מיכל</v>
      </c>
      <c r="O46" s="218" t="str">
        <v>053-8765432</v>
      </c>
    </row>
    <row r="47" spans="12:15" ht="30" customHeight="1">
      <c r="L47" s="218">
        <f t="shared" si="0"/>
        <v>46</v>
      </c>
      <c r="M47" s="218" t="str">
        <v>שפירא</v>
      </c>
      <c r="N47" s="218" t="str">
        <v>יונתן</v>
      </c>
      <c r="O47" s="218" t="str">
        <v>052-9876543</v>
      </c>
    </row>
    <row r="48" spans="12:15" ht="30" customHeight="1">
      <c r="L48" s="218">
        <f t="shared" si="0"/>
        <v>47</v>
      </c>
      <c r="M48" s="218" t="str">
        <v>שרון</v>
      </c>
      <c r="N48" s="218" t="str">
        <v>גלי</v>
      </c>
      <c r="O48" s="218" t="str">
        <v>050-6543210</v>
      </c>
    </row>
    <row r="49" spans="12:12" ht="30" customHeight="1">
      <c r="L49" s="218" t="str">
        <f t="shared" si="0"/>
        <v/>
      </c>
    </row>
    <row r="50" spans="12:12" ht="30" customHeight="1">
      <c r="L50" s="218" t="str">
        <f t="shared" si="0"/>
        <v/>
      </c>
    </row>
    <row r="51" spans="12:12" ht="30" customHeight="1">
      <c r="L51" s="218" t="str">
        <f t="shared" si="0"/>
        <v/>
      </c>
    </row>
    <row r="52" spans="12:12" ht="30" customHeight="1">
      <c r="L52" s="218" t="str">
        <f t="shared" si="0"/>
        <v/>
      </c>
    </row>
    <row r="53" spans="12:12" ht="30" customHeight="1">
      <c r="L53" s="218" t="str">
        <f t="shared" si="0"/>
        <v/>
      </c>
    </row>
    <row r="54" spans="12:12" ht="30" customHeight="1">
      <c r="L54" s="218" t="str">
        <f t="shared" si="0"/>
        <v/>
      </c>
    </row>
    <row r="55" spans="12:12" ht="30" customHeight="1">
      <c r="L55" s="218" t="str">
        <f t="shared" si="0"/>
        <v/>
      </c>
    </row>
    <row r="56" spans="12:12" ht="30" customHeight="1">
      <c r="L56" s="218" t="str">
        <f t="shared" si="0"/>
        <v/>
      </c>
    </row>
    <row r="57" spans="12:12" ht="30" customHeight="1">
      <c r="L57" s="218" t="str">
        <f t="shared" si="0"/>
        <v/>
      </c>
    </row>
    <row r="58" spans="12:12" ht="30" customHeight="1">
      <c r="L58" s="218" t="str">
        <f t="shared" si="0"/>
        <v/>
      </c>
    </row>
    <row r="59" spans="12:12" ht="30" customHeight="1">
      <c r="L59" s="218" t="str">
        <f t="shared" si="0"/>
        <v/>
      </c>
    </row>
    <row r="60" spans="12:12" ht="30" customHeight="1">
      <c r="L60" s="218" t="str">
        <f t="shared" si="0"/>
        <v/>
      </c>
    </row>
    <row r="61" spans="12:12" ht="30" customHeight="1">
      <c r="L61" s="218" t="str">
        <f t="shared" si="0"/>
        <v/>
      </c>
    </row>
    <row r="62" spans="12:12" ht="30" customHeight="1">
      <c r="L62" s="218" t="str">
        <f t="shared" si="0"/>
        <v/>
      </c>
    </row>
    <row r="63" spans="12:12" ht="30" customHeight="1">
      <c r="L63" s="218" t="str">
        <f t="shared" si="0"/>
        <v/>
      </c>
    </row>
    <row r="64" spans="12:12" ht="30" customHeight="1">
      <c r="L64" s="218" t="str">
        <f t="shared" si="0"/>
        <v/>
      </c>
    </row>
    <row r="65" spans="12:12" ht="30" customHeight="1">
      <c r="L65" s="218" t="str">
        <f t="shared" si="0"/>
        <v/>
      </c>
    </row>
    <row r="66" spans="12:12" ht="30" customHeight="1">
      <c r="L66" s="218" t="str">
        <f t="shared" si="0"/>
        <v/>
      </c>
    </row>
    <row r="67" spans="12:12" ht="30" customHeight="1">
      <c r="L67" s="218" t="str">
        <f t="shared" ref="L67:L130" si="1">IF(M67&lt;&gt;"",L66+1,"")</f>
        <v/>
      </c>
    </row>
    <row r="68" spans="12:12" ht="30" customHeight="1">
      <c r="L68" s="218" t="str">
        <f t="shared" si="1"/>
        <v/>
      </c>
    </row>
    <row r="69" spans="12:12" ht="30" customHeight="1">
      <c r="L69" s="218" t="str">
        <f t="shared" si="1"/>
        <v/>
      </c>
    </row>
    <row r="70" spans="12:12" ht="30" customHeight="1">
      <c r="L70" s="218" t="str">
        <f t="shared" si="1"/>
        <v/>
      </c>
    </row>
    <row r="71" spans="12:12" ht="30" customHeight="1">
      <c r="L71" s="218" t="str">
        <f t="shared" si="1"/>
        <v/>
      </c>
    </row>
    <row r="72" spans="12:12" ht="30" customHeight="1">
      <c r="L72" s="218" t="str">
        <f t="shared" si="1"/>
        <v/>
      </c>
    </row>
    <row r="73" spans="12:12" ht="30" customHeight="1">
      <c r="L73" s="218" t="str">
        <f t="shared" si="1"/>
        <v/>
      </c>
    </row>
    <row r="74" spans="12:12" ht="30" customHeight="1">
      <c r="L74" s="218" t="str">
        <f t="shared" si="1"/>
        <v/>
      </c>
    </row>
    <row r="75" spans="12:12" ht="30" customHeight="1">
      <c r="L75" s="218" t="str">
        <f t="shared" si="1"/>
        <v/>
      </c>
    </row>
    <row r="76" spans="12:12" ht="30" customHeight="1">
      <c r="L76" s="218" t="str">
        <f t="shared" si="1"/>
        <v/>
      </c>
    </row>
    <row r="77" spans="12:12" ht="30" customHeight="1">
      <c r="L77" s="218" t="str">
        <f t="shared" si="1"/>
        <v/>
      </c>
    </row>
    <row r="78" spans="12:12" ht="30" customHeight="1">
      <c r="L78" s="218" t="str">
        <f t="shared" si="1"/>
        <v/>
      </c>
    </row>
    <row r="79" spans="12:12" ht="30" customHeight="1">
      <c r="L79" s="218" t="str">
        <f t="shared" si="1"/>
        <v/>
      </c>
    </row>
    <row r="80" spans="12:12" ht="30" customHeight="1">
      <c r="L80" s="218" t="str">
        <f t="shared" si="1"/>
        <v/>
      </c>
    </row>
    <row r="81" spans="12:12" ht="30" customHeight="1">
      <c r="L81" s="218" t="str">
        <f t="shared" si="1"/>
        <v/>
      </c>
    </row>
    <row r="82" spans="12:12" ht="30" customHeight="1">
      <c r="L82" s="218" t="str">
        <f t="shared" si="1"/>
        <v/>
      </c>
    </row>
    <row r="83" spans="12:12" ht="30" customHeight="1">
      <c r="L83" s="218" t="str">
        <f t="shared" si="1"/>
        <v/>
      </c>
    </row>
    <row r="84" spans="12:12" ht="30" customHeight="1">
      <c r="L84" s="218" t="str">
        <f t="shared" si="1"/>
        <v/>
      </c>
    </row>
    <row r="85" spans="12:12" ht="30" customHeight="1">
      <c r="L85" s="218" t="str">
        <f t="shared" si="1"/>
        <v/>
      </c>
    </row>
    <row r="86" spans="12:12" ht="30" customHeight="1">
      <c r="L86" s="218" t="str">
        <f t="shared" si="1"/>
        <v/>
      </c>
    </row>
    <row r="87" spans="12:12" ht="30" customHeight="1">
      <c r="L87" s="218" t="str">
        <f t="shared" si="1"/>
        <v/>
      </c>
    </row>
    <row r="88" spans="12:12" ht="30" customHeight="1">
      <c r="L88" s="218" t="str">
        <f t="shared" si="1"/>
        <v/>
      </c>
    </row>
    <row r="89" spans="12:12" ht="30" customHeight="1">
      <c r="L89" s="218" t="str">
        <f t="shared" si="1"/>
        <v/>
      </c>
    </row>
    <row r="90" spans="12:12" ht="30" customHeight="1">
      <c r="L90" s="218" t="str">
        <f t="shared" si="1"/>
        <v/>
      </c>
    </row>
    <row r="91" spans="12:12" ht="30" customHeight="1">
      <c r="L91" s="218" t="str">
        <f t="shared" si="1"/>
        <v/>
      </c>
    </row>
    <row r="92" spans="12:12" ht="30" customHeight="1">
      <c r="L92" s="218" t="str">
        <f t="shared" si="1"/>
        <v/>
      </c>
    </row>
    <row r="93" spans="12:12" ht="30" customHeight="1">
      <c r="L93" s="218" t="str">
        <f t="shared" si="1"/>
        <v/>
      </c>
    </row>
    <row r="94" spans="12:12" ht="30" customHeight="1">
      <c r="L94" s="218" t="str">
        <f t="shared" si="1"/>
        <v/>
      </c>
    </row>
    <row r="95" spans="12:12" ht="30" customHeight="1">
      <c r="L95" s="218" t="str">
        <f t="shared" si="1"/>
        <v/>
      </c>
    </row>
    <row r="96" spans="12:12" ht="30" customHeight="1">
      <c r="L96" s="218" t="str">
        <f t="shared" si="1"/>
        <v/>
      </c>
    </row>
    <row r="97" spans="12:12" ht="30" customHeight="1">
      <c r="L97" s="218" t="str">
        <f t="shared" si="1"/>
        <v/>
      </c>
    </row>
    <row r="98" spans="12:12" ht="30" customHeight="1">
      <c r="L98" s="218" t="str">
        <f t="shared" si="1"/>
        <v/>
      </c>
    </row>
    <row r="99" spans="12:12" ht="30" customHeight="1">
      <c r="L99" s="218" t="str">
        <f t="shared" si="1"/>
        <v/>
      </c>
    </row>
    <row r="100" spans="12:12" ht="30" customHeight="1">
      <c r="L100" s="218" t="str">
        <f t="shared" si="1"/>
        <v/>
      </c>
    </row>
    <row r="101" spans="12:12" ht="30" customHeight="1">
      <c r="L101" s="218" t="str">
        <f t="shared" si="1"/>
        <v/>
      </c>
    </row>
    <row r="102" spans="12:12" ht="30" customHeight="1">
      <c r="L102" s="218" t="str">
        <f t="shared" si="1"/>
        <v/>
      </c>
    </row>
    <row r="103" spans="12:12" ht="30" customHeight="1">
      <c r="L103" s="218" t="str">
        <f t="shared" si="1"/>
        <v/>
      </c>
    </row>
    <row r="104" spans="12:12" ht="30" customHeight="1">
      <c r="L104" s="218" t="str">
        <f t="shared" si="1"/>
        <v/>
      </c>
    </row>
    <row r="105" spans="12:12" ht="30" customHeight="1">
      <c r="L105" s="218" t="str">
        <f t="shared" si="1"/>
        <v/>
      </c>
    </row>
    <row r="106" spans="12:12" ht="30" customHeight="1">
      <c r="L106" s="218" t="str">
        <f t="shared" si="1"/>
        <v/>
      </c>
    </row>
    <row r="107" spans="12:12" ht="30" customHeight="1">
      <c r="L107" s="218" t="str">
        <f t="shared" si="1"/>
        <v/>
      </c>
    </row>
    <row r="108" spans="12:12" ht="30" customHeight="1">
      <c r="L108" s="218" t="str">
        <f t="shared" si="1"/>
        <v/>
      </c>
    </row>
    <row r="109" spans="12:12" ht="30" customHeight="1">
      <c r="L109" s="218" t="str">
        <f t="shared" si="1"/>
        <v/>
      </c>
    </row>
    <row r="110" spans="12:12" ht="30" customHeight="1">
      <c r="L110" s="218" t="str">
        <f t="shared" si="1"/>
        <v/>
      </c>
    </row>
    <row r="111" spans="12:12" ht="30" customHeight="1">
      <c r="L111" s="218" t="str">
        <f t="shared" si="1"/>
        <v/>
      </c>
    </row>
    <row r="112" spans="12:12" ht="30" customHeight="1">
      <c r="L112" s="218" t="str">
        <f t="shared" si="1"/>
        <v/>
      </c>
    </row>
    <row r="113" spans="12:12" ht="30" customHeight="1">
      <c r="L113" s="218" t="str">
        <f t="shared" si="1"/>
        <v/>
      </c>
    </row>
    <row r="114" spans="12:12" ht="30" customHeight="1">
      <c r="L114" s="218" t="str">
        <f t="shared" si="1"/>
        <v/>
      </c>
    </row>
    <row r="115" spans="12:12" ht="30" customHeight="1">
      <c r="L115" s="218" t="str">
        <f t="shared" si="1"/>
        <v/>
      </c>
    </row>
    <row r="116" spans="12:12" ht="30" customHeight="1">
      <c r="L116" s="218" t="str">
        <f t="shared" si="1"/>
        <v/>
      </c>
    </row>
    <row r="117" spans="12:12" ht="30" customHeight="1">
      <c r="L117" s="218" t="str">
        <f t="shared" si="1"/>
        <v/>
      </c>
    </row>
    <row r="118" spans="12:12" ht="30" customHeight="1">
      <c r="L118" s="218" t="str">
        <f t="shared" si="1"/>
        <v/>
      </c>
    </row>
    <row r="119" spans="12:12" ht="30" customHeight="1">
      <c r="L119" s="218" t="str">
        <f t="shared" si="1"/>
        <v/>
      </c>
    </row>
    <row r="120" spans="12:12" ht="30" customHeight="1">
      <c r="L120" s="218" t="str">
        <f t="shared" si="1"/>
        <v/>
      </c>
    </row>
    <row r="121" spans="12:12" ht="30" customHeight="1">
      <c r="L121" s="218" t="str">
        <f t="shared" si="1"/>
        <v/>
      </c>
    </row>
    <row r="122" spans="12:12" ht="30" customHeight="1">
      <c r="L122" s="218" t="str">
        <f t="shared" si="1"/>
        <v/>
      </c>
    </row>
    <row r="123" spans="12:12" ht="30" customHeight="1">
      <c r="L123" s="218" t="str">
        <f t="shared" si="1"/>
        <v/>
      </c>
    </row>
    <row r="124" spans="12:12" ht="30" customHeight="1">
      <c r="L124" s="218" t="str">
        <f t="shared" si="1"/>
        <v/>
      </c>
    </row>
    <row r="125" spans="12:12" ht="30" customHeight="1">
      <c r="L125" s="218" t="str">
        <f t="shared" si="1"/>
        <v/>
      </c>
    </row>
    <row r="126" spans="12:12" ht="30" customHeight="1">
      <c r="L126" s="218" t="str">
        <f t="shared" si="1"/>
        <v/>
      </c>
    </row>
    <row r="127" spans="12:12" ht="30" customHeight="1">
      <c r="L127" s="218" t="str">
        <f t="shared" si="1"/>
        <v/>
      </c>
    </row>
    <row r="128" spans="12:12" ht="30" customHeight="1">
      <c r="L128" s="218" t="str">
        <f t="shared" si="1"/>
        <v/>
      </c>
    </row>
    <row r="129" spans="12:12" ht="30" customHeight="1">
      <c r="L129" s="218" t="str">
        <f t="shared" si="1"/>
        <v/>
      </c>
    </row>
    <row r="130" spans="12:12" ht="30" customHeight="1">
      <c r="L130" s="218" t="str">
        <f t="shared" si="1"/>
        <v/>
      </c>
    </row>
    <row r="131" spans="12:12" ht="30" customHeight="1">
      <c r="L131" s="218" t="str">
        <f t="shared" ref="L131:L151" si="2">IF(M131&lt;&gt;"",L130+1,"")</f>
        <v/>
      </c>
    </row>
    <row r="132" spans="12:12" ht="30" customHeight="1">
      <c r="L132" s="218" t="str">
        <f t="shared" si="2"/>
        <v/>
      </c>
    </row>
    <row r="133" spans="12:12" ht="30" customHeight="1">
      <c r="L133" s="218" t="str">
        <f t="shared" si="2"/>
        <v/>
      </c>
    </row>
    <row r="134" spans="12:12" ht="30" customHeight="1">
      <c r="L134" s="218" t="str">
        <f t="shared" si="2"/>
        <v/>
      </c>
    </row>
    <row r="135" spans="12:12" ht="30" customHeight="1">
      <c r="L135" s="218" t="str">
        <f t="shared" si="2"/>
        <v/>
      </c>
    </row>
    <row r="136" spans="12:12" ht="30" customHeight="1">
      <c r="L136" s="218" t="str">
        <f t="shared" si="2"/>
        <v/>
      </c>
    </row>
    <row r="137" spans="12:12" ht="30" customHeight="1">
      <c r="L137" s="218" t="str">
        <f t="shared" si="2"/>
        <v/>
      </c>
    </row>
    <row r="138" spans="12:12" ht="30" customHeight="1">
      <c r="L138" s="218" t="str">
        <f t="shared" si="2"/>
        <v/>
      </c>
    </row>
    <row r="139" spans="12:12" ht="30" customHeight="1">
      <c r="L139" s="218" t="str">
        <f t="shared" si="2"/>
        <v/>
      </c>
    </row>
    <row r="140" spans="12:12" ht="30" customHeight="1">
      <c r="L140" s="218" t="str">
        <f t="shared" si="2"/>
        <v/>
      </c>
    </row>
    <row r="141" spans="12:12" ht="30" customHeight="1">
      <c r="L141" s="218" t="str">
        <f t="shared" si="2"/>
        <v/>
      </c>
    </row>
    <row r="142" spans="12:12" ht="30" customHeight="1">
      <c r="L142" s="218" t="str">
        <f t="shared" si="2"/>
        <v/>
      </c>
    </row>
    <row r="143" spans="12:12" ht="30" customHeight="1">
      <c r="L143" s="218" t="str">
        <f t="shared" si="2"/>
        <v/>
      </c>
    </row>
    <row r="144" spans="12:12" ht="30" customHeight="1">
      <c r="L144" s="218" t="str">
        <f t="shared" si="2"/>
        <v/>
      </c>
    </row>
    <row r="145" spans="12:12" ht="30" customHeight="1">
      <c r="L145" s="218" t="str">
        <f t="shared" si="2"/>
        <v/>
      </c>
    </row>
    <row r="146" spans="12:12" ht="30" customHeight="1">
      <c r="L146" s="218" t="str">
        <f t="shared" si="2"/>
        <v/>
      </c>
    </row>
    <row r="147" spans="12:12" ht="30" customHeight="1">
      <c r="L147" s="218" t="str">
        <f t="shared" si="2"/>
        <v/>
      </c>
    </row>
    <row r="148" spans="12:12" ht="30" customHeight="1">
      <c r="L148" s="218" t="str">
        <f t="shared" si="2"/>
        <v/>
      </c>
    </row>
    <row r="149" spans="12:12" ht="30" customHeight="1">
      <c r="L149" s="218" t="str">
        <f t="shared" si="2"/>
        <v/>
      </c>
    </row>
    <row r="150" spans="12:12" ht="30" customHeight="1">
      <c r="L150" s="218" t="str">
        <f t="shared" si="2"/>
        <v/>
      </c>
    </row>
    <row r="151" spans="12:12" ht="30" customHeight="1">
      <c r="L151" s="218" t="str">
        <f t="shared" si="2"/>
        <v/>
      </c>
    </row>
    <row r="152" spans="12:12" ht="30" customHeight="1">
      <c r="L152" s="218" t="str">
        <f t="shared" ref="L152:L159" si="3">IF(M152&lt;&gt;"",L151+1,"")</f>
        <v/>
      </c>
    </row>
    <row r="153" spans="12:12" ht="30" customHeight="1">
      <c r="L153" s="218" t="str">
        <f t="shared" si="3"/>
        <v/>
      </c>
    </row>
    <row r="154" spans="12:12" ht="30" customHeight="1">
      <c r="L154" s="218" t="str">
        <f t="shared" si="3"/>
        <v/>
      </c>
    </row>
    <row r="155" spans="12:12" ht="30" customHeight="1">
      <c r="L155" s="218" t="str">
        <f t="shared" si="3"/>
        <v/>
      </c>
    </row>
    <row r="156" spans="12:12" ht="30" customHeight="1">
      <c r="L156" s="218" t="str">
        <f t="shared" si="3"/>
        <v/>
      </c>
    </row>
    <row r="157" spans="12:12" ht="30" customHeight="1">
      <c r="L157" s="218" t="str">
        <f t="shared" si="3"/>
        <v/>
      </c>
    </row>
    <row r="158" spans="12:12" ht="30" customHeight="1">
      <c r="L158" s="218" t="str">
        <f t="shared" si="3"/>
        <v/>
      </c>
    </row>
    <row r="159" spans="12:12" ht="30" customHeight="1">
      <c r="L159" s="218" t="str">
        <f t="shared" si="3"/>
        <v/>
      </c>
    </row>
    <row r="160" spans="12:12" ht="30" customHeight="1">
      <c r="L160" s="252"/>
    </row>
  </sheetData>
  <printOptions horizontalCentered="1" verticalCentered="1"/>
  <pageMargins left="0" right="0" top="0" bottom="0" header="0" footer="0"/>
  <pageSetup paperSize="8" scale="109" fitToWidth="0" orientation="portrait" r:id="rId1"/>
  <rowBreaks count="1" manualBreakCount="1">
    <brk id="44" max="8" man="1"/>
  </rowBreaks>
  <colBreaks count="1" manualBreakCount="1">
    <brk id="9" min="1" max="1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55C3E-32A8-4636-B5E7-220DB52DEF5A}">
  <sheetPr codeName="גיליון17">
    <tabColor rgb="FFCC6600"/>
  </sheetPr>
  <dimension ref="B2:R51"/>
  <sheetViews>
    <sheetView rightToLeft="1" zoomScaleNormal="100" workbookViewId="0">
      <selection activeCell="D8" sqref="D8"/>
    </sheetView>
  </sheetViews>
  <sheetFormatPr defaultColWidth="9" defaultRowHeight="13.8"/>
  <cols>
    <col min="1" max="1" width="9" style="241"/>
    <col min="2" max="7" width="20.59765625" style="241" customWidth="1"/>
    <col min="8" max="11" width="9" style="241"/>
    <col min="12" max="12" width="7.59765625" style="241" bestFit="1" customWidth="1"/>
    <col min="13" max="13" width="6.09765625" style="241" bestFit="1" customWidth="1"/>
    <col min="14" max="14" width="11.5" style="241" bestFit="1" customWidth="1"/>
    <col min="15" max="17" width="9" style="241"/>
    <col min="18" max="18" width="11.09765625" style="253" bestFit="1" customWidth="1"/>
    <col min="19" max="16384" width="9" style="241"/>
  </cols>
  <sheetData>
    <row r="2" spans="2:18" ht="60.6">
      <c r="C2" s="368" t="s">
        <v>333</v>
      </c>
      <c r="D2" s="368"/>
      <c r="E2" s="368"/>
      <c r="F2" s="368"/>
    </row>
    <row r="3" spans="2:18" ht="14.4" thickBot="1">
      <c r="J3" s="254" t="s">
        <v>333</v>
      </c>
      <c r="K3" s="255"/>
      <c r="L3" s="255"/>
      <c r="M3" s="255"/>
      <c r="O3" s="254" t="s">
        <v>334</v>
      </c>
      <c r="P3" s="255"/>
      <c r="Q3" s="255"/>
      <c r="R3" s="256"/>
    </row>
    <row r="4" spans="2:18" ht="33" customHeight="1" thickTop="1" thickBot="1">
      <c r="B4" s="219" t="s">
        <v>0</v>
      </c>
      <c r="C4" s="220" t="s">
        <v>1</v>
      </c>
      <c r="D4" s="242" t="s">
        <v>0</v>
      </c>
      <c r="E4" s="220" t="s">
        <v>1</v>
      </c>
      <c r="F4" s="242" t="s">
        <v>0</v>
      </c>
      <c r="G4" s="221" t="s">
        <v>1</v>
      </c>
      <c r="J4" s="241" t="str" cm="1">
        <f t="array" ref="J4:M51">_xlfn._xlws.SORT(_xlfn._xlws.FILTER(INDEX(tbEmploDetails[],_xlfn.SEQUENCE(ROWS(tbEmploDetails[])),{1,2,19,20}),(tbEmploDetails[האם פעיל]="פעיל") * (tbEmploDetails[תפקיד]&lt;&gt;"אחר"),"0000"),1,1,FALSE)</f>
        <v>אבידן</v>
      </c>
      <c r="K4" s="241" t="str">
        <v>שירה</v>
      </c>
      <c r="L4" s="241" t="str">
        <v>מוסמך</v>
      </c>
      <c r="M4" s="241" t="str">
        <v>מורשה</v>
      </c>
      <c r="O4" s="241" t="str" cm="1">
        <f t="array" ref="O4:R8">_xlfn._xlws.SORT(_xlfn._xlws.FILTER(INDEX(tbEmploDetails[],_xlfn.SEQUENCE(ROWS(tbEmploDetails[])),{21,1,2,4}),(tbEmploDetails[האם פעיל]="פעיל") * ((tbEmploDetails[תפקיד]="אחר") + (tbEmploDetails[תפקיד]="אחמש") + (tbEmploDetails[תפקיד]="מוקד")),"0000"),1,1,FALSE)</f>
        <v>אחמש</v>
      </c>
      <c r="P4" s="241" t="str">
        <v>גולדשטיין</v>
      </c>
      <c r="Q4" s="241" t="str">
        <v>יאיר</v>
      </c>
      <c r="R4" s="253" t="str">
        <v>3-2233445-9</v>
      </c>
    </row>
    <row r="5" spans="2:18" ht="30" customHeight="1" thickTop="1">
      <c r="B5" s="257"/>
      <c r="C5" s="240"/>
      <c r="D5" s="245"/>
      <c r="E5" s="246"/>
      <c r="F5" s="243"/>
      <c r="G5" s="244"/>
      <c r="J5" s="241" t="str">
        <v>אורן</v>
      </c>
      <c r="K5" s="241" t="str">
        <v>עומר</v>
      </c>
      <c r="L5" s="241" t="str">
        <v>לא מוסמך</v>
      </c>
      <c r="M5" s="241" t="str">
        <v>לא מורשה</v>
      </c>
      <c r="O5" s="241" t="str">
        <v>מוקד</v>
      </c>
      <c r="P5" s="241" t="str">
        <v>פרידמן</v>
      </c>
      <c r="Q5" s="241" t="str">
        <v>רונית</v>
      </c>
      <c r="R5" s="253" t="str">
        <v>3-4455667-8</v>
      </c>
    </row>
    <row r="6" spans="2:18" ht="30" customHeight="1">
      <c r="B6" s="247"/>
      <c r="C6" s="246"/>
      <c r="D6" s="258"/>
      <c r="E6" s="240"/>
      <c r="F6" s="243"/>
      <c r="G6" s="244"/>
      <c r="J6" s="241" t="str">
        <v>אלון</v>
      </c>
      <c r="K6" s="241" t="str">
        <v>עומר</v>
      </c>
      <c r="L6" s="241" t="str">
        <v>לא מוסמך</v>
      </c>
      <c r="M6" s="241" t="str">
        <v>לא מורשה</v>
      </c>
      <c r="O6" s="241" t="str">
        <v>מוקד</v>
      </c>
      <c r="P6" s="241" t="str">
        <v>אבידן</v>
      </c>
      <c r="Q6" s="241" t="str">
        <v>שירה</v>
      </c>
      <c r="R6" s="253" t="str">
        <v>2-3344556-1</v>
      </c>
    </row>
    <row r="7" spans="2:18" ht="30" customHeight="1">
      <c r="B7" s="257"/>
      <c r="C7" s="240"/>
      <c r="D7" s="245"/>
      <c r="E7" s="246"/>
      <c r="F7" s="259"/>
      <c r="G7" s="239"/>
      <c r="J7" s="241" t="str">
        <v>אלוני</v>
      </c>
      <c r="K7" s="241" t="str">
        <v>רועי</v>
      </c>
      <c r="L7" s="241" t="str">
        <v>מוסמך</v>
      </c>
      <c r="M7" s="241" t="str">
        <v>מורשה</v>
      </c>
      <c r="O7" s="241" t="str">
        <v>מוקד</v>
      </c>
      <c r="P7" s="241" t="str">
        <v>שגיא</v>
      </c>
      <c r="Q7" s="241" t="str">
        <v>ליאת</v>
      </c>
      <c r="R7" s="253" t="str">
        <v>3-3344556-8</v>
      </c>
    </row>
    <row r="8" spans="2:18" ht="30" customHeight="1">
      <c r="B8" s="247"/>
      <c r="C8" s="246"/>
      <c r="D8" s="245"/>
      <c r="E8" s="246"/>
      <c r="F8" s="243"/>
      <c r="G8" s="244"/>
      <c r="J8" s="241" t="str">
        <v>בלום</v>
      </c>
      <c r="K8" s="241" t="str">
        <v>גיל</v>
      </c>
      <c r="L8" s="241" t="str">
        <v>לא מוסמך</v>
      </c>
      <c r="M8" s="241" t="str">
        <v>לא מורשה</v>
      </c>
      <c r="O8" s="241" t="str">
        <v>מוקד</v>
      </c>
      <c r="P8" s="241" t="str">
        <v>נחשון</v>
      </c>
      <c r="Q8" s="241" t="str">
        <v>דנה</v>
      </c>
      <c r="R8" s="253" t="str">
        <v>3-6677889-0</v>
      </c>
    </row>
    <row r="9" spans="2:18" ht="30" customHeight="1">
      <c r="B9" s="247"/>
      <c r="C9" s="246"/>
      <c r="D9" s="258"/>
      <c r="E9" s="240"/>
      <c r="F9" s="259"/>
      <c r="G9" s="239"/>
      <c r="J9" s="241" t="str">
        <v>בן ארי</v>
      </c>
      <c r="K9" s="241" t="str">
        <v>יעל</v>
      </c>
      <c r="L9" s="241" t="str">
        <v>מוסמך</v>
      </c>
      <c r="M9" s="241" t="str">
        <v>מורשה</v>
      </c>
    </row>
    <row r="10" spans="2:18" ht="30" customHeight="1">
      <c r="B10" s="247"/>
      <c r="C10" s="246"/>
      <c r="D10" s="245"/>
      <c r="E10" s="246"/>
      <c r="F10" s="259"/>
      <c r="G10" s="239"/>
      <c r="J10" s="241" t="str">
        <v>בן דוד</v>
      </c>
      <c r="K10" s="241" t="str">
        <v>מאיה</v>
      </c>
      <c r="L10" s="241" t="str">
        <v>לא מוסמך</v>
      </c>
      <c r="M10" s="241" t="str">
        <v>לא מורשה</v>
      </c>
    </row>
    <row r="11" spans="2:18" ht="30" customHeight="1">
      <c r="B11" s="247"/>
      <c r="C11" s="246"/>
      <c r="D11" s="245"/>
      <c r="E11" s="246"/>
      <c r="F11" s="243"/>
      <c r="G11" s="244"/>
      <c r="J11" s="241" t="str">
        <v>ברגר</v>
      </c>
      <c r="K11" s="241" t="str">
        <v>סיוון</v>
      </c>
      <c r="L11" s="241" t="str">
        <v>לא מוסמך</v>
      </c>
      <c r="M11" s="241" t="str">
        <v>לא מורשה</v>
      </c>
    </row>
    <row r="12" spans="2:18" ht="30" customHeight="1">
      <c r="B12" s="257"/>
      <c r="C12" s="240"/>
      <c r="D12" s="245"/>
      <c r="E12" s="246"/>
      <c r="F12" s="259"/>
      <c r="G12" s="239"/>
      <c r="J12" s="241" t="str">
        <v>ברונר</v>
      </c>
      <c r="K12" s="241" t="str">
        <v>ניב</v>
      </c>
      <c r="L12" s="241" t="str">
        <v>מוסמך</v>
      </c>
      <c r="M12" s="241" t="str">
        <v>מורשה</v>
      </c>
    </row>
    <row r="13" spans="2:18" ht="30" customHeight="1">
      <c r="B13" s="247"/>
      <c r="C13" s="246"/>
      <c r="D13" s="245"/>
      <c r="E13" s="246"/>
      <c r="F13" s="259"/>
      <c r="G13" s="239"/>
      <c r="J13" s="241" t="str">
        <v>ברוש</v>
      </c>
      <c r="K13" s="241" t="str">
        <v>עידן</v>
      </c>
      <c r="L13" s="241" t="str">
        <v>מוסמך</v>
      </c>
      <c r="M13" s="241" t="str">
        <v>מורשה</v>
      </c>
    </row>
    <row r="14" spans="2:18" ht="30" customHeight="1">
      <c r="B14" s="247"/>
      <c r="C14" s="246"/>
      <c r="D14" s="245"/>
      <c r="E14" s="246"/>
      <c r="F14" s="259"/>
      <c r="G14" s="239"/>
      <c r="J14" s="241" t="str">
        <v>ברק</v>
      </c>
      <c r="K14" s="241" t="str">
        <v>רותם</v>
      </c>
      <c r="L14" s="241" t="str">
        <v>מוסמך</v>
      </c>
      <c r="M14" s="241" t="str">
        <v>מורשה</v>
      </c>
    </row>
    <row r="15" spans="2:18" ht="30" customHeight="1">
      <c r="B15" s="257"/>
      <c r="C15" s="240"/>
      <c r="D15" s="258"/>
      <c r="E15" s="240"/>
      <c r="F15" s="243"/>
      <c r="G15" s="244"/>
      <c r="J15" s="241" t="str">
        <v>גבאי</v>
      </c>
      <c r="K15" s="241" t="str">
        <v>אלון</v>
      </c>
      <c r="L15" s="241" t="str">
        <v>מוסמך</v>
      </c>
      <c r="M15" s="241" t="str">
        <v>מורשה</v>
      </c>
    </row>
    <row r="16" spans="2:18" ht="30" customHeight="1">
      <c r="B16" s="247"/>
      <c r="C16" s="246"/>
      <c r="D16" s="245"/>
      <c r="E16" s="246"/>
      <c r="F16" s="259"/>
      <c r="G16" s="239"/>
      <c r="J16" s="241" t="str">
        <v>גולדשטיין</v>
      </c>
      <c r="K16" s="241" t="str">
        <v>יאיר</v>
      </c>
      <c r="L16" s="241" t="str">
        <v>מוסמך</v>
      </c>
      <c r="M16" s="241" t="str">
        <v>מורשה</v>
      </c>
    </row>
    <row r="17" spans="2:13" ht="30" customHeight="1">
      <c r="B17" s="257"/>
      <c r="C17" s="240"/>
      <c r="D17" s="258"/>
      <c r="E17" s="240"/>
      <c r="F17" s="243"/>
      <c r="G17" s="244"/>
      <c r="J17" s="241" t="str">
        <v>גל</v>
      </c>
      <c r="K17" s="241" t="str">
        <v>יובל</v>
      </c>
      <c r="L17" s="241" t="str">
        <v>מוסמך</v>
      </c>
      <c r="M17" s="241" t="str">
        <v>מורשה</v>
      </c>
    </row>
    <row r="18" spans="2:13" ht="30" customHeight="1">
      <c r="B18" s="247"/>
      <c r="C18" s="246"/>
      <c r="D18" s="258"/>
      <c r="E18" s="240"/>
      <c r="F18" s="259"/>
      <c r="G18" s="239"/>
      <c r="J18" s="241" t="str">
        <v>גרין</v>
      </c>
      <c r="K18" s="241" t="str">
        <v>איתי</v>
      </c>
      <c r="L18" s="241" t="str">
        <v>מוסמך</v>
      </c>
      <c r="M18" s="241" t="str">
        <v>מורשה</v>
      </c>
    </row>
    <row r="19" spans="2:13" ht="30" customHeight="1">
      <c r="B19" s="257"/>
      <c r="C19" s="240"/>
      <c r="D19" s="245"/>
      <c r="E19" s="246"/>
      <c r="F19" s="243"/>
      <c r="G19" s="244"/>
      <c r="J19" s="241" t="str">
        <v>דיין</v>
      </c>
      <c r="K19" s="241" t="str">
        <v>טל</v>
      </c>
      <c r="L19" s="241" t="str">
        <v>מוסמך</v>
      </c>
      <c r="M19" s="241" t="str">
        <v>מורשה</v>
      </c>
    </row>
    <row r="20" spans="2:13" ht="30" customHeight="1">
      <c r="B20" s="257"/>
      <c r="C20" s="240"/>
      <c r="D20" s="245"/>
      <c r="E20" s="246"/>
      <c r="F20" s="243"/>
      <c r="G20" s="244"/>
      <c r="J20" s="241" t="str">
        <v>דקל</v>
      </c>
      <c r="K20" s="241" t="str">
        <v>יעל</v>
      </c>
      <c r="L20" s="241" t="str">
        <v>מוסמך</v>
      </c>
      <c r="M20" s="241" t="str">
        <v>מורשה</v>
      </c>
    </row>
    <row r="21" spans="2:13" ht="30" customHeight="1">
      <c r="B21" s="247"/>
      <c r="C21" s="246"/>
      <c r="D21" s="258"/>
      <c r="E21" s="240"/>
      <c r="F21" s="243"/>
      <c r="G21" s="244"/>
      <c r="J21" s="241" t="str">
        <v>דרורי</v>
      </c>
      <c r="K21" s="241" t="str">
        <v>יונתן</v>
      </c>
      <c r="L21" s="241" t="str">
        <v>מוסמך</v>
      </c>
      <c r="M21" s="241" t="str">
        <v>מורשה</v>
      </c>
    </row>
    <row r="22" spans="2:13" ht="30" customHeight="1">
      <c r="B22" s="257"/>
      <c r="C22" s="240"/>
      <c r="D22" s="245"/>
      <c r="E22" s="246"/>
      <c r="F22" s="243"/>
      <c r="G22" s="244"/>
      <c r="J22" s="241" t="str">
        <v>הורוביץ</v>
      </c>
      <c r="K22" s="241" t="str">
        <v>יואב</v>
      </c>
      <c r="L22" s="241" t="str">
        <v>מוסמך</v>
      </c>
      <c r="M22" s="241" t="str">
        <v>מורשה</v>
      </c>
    </row>
    <row r="23" spans="2:13" ht="30" customHeight="1">
      <c r="B23" s="257"/>
      <c r="C23" s="240"/>
      <c r="D23" s="258"/>
      <c r="E23" s="240"/>
      <c r="F23" s="259"/>
      <c r="G23" s="239"/>
      <c r="J23" s="241" t="str">
        <v>הראל</v>
      </c>
      <c r="K23" s="241" t="str">
        <v>דניאל</v>
      </c>
      <c r="L23" s="241" t="str">
        <v>לא מוסמך</v>
      </c>
      <c r="M23" s="241" t="str">
        <v>לא מורשה</v>
      </c>
    </row>
    <row r="24" spans="2:13" ht="30" customHeight="1">
      <c r="B24" s="257"/>
      <c r="C24" s="240"/>
      <c r="D24" s="245"/>
      <c r="E24" s="246"/>
      <c r="F24" s="243"/>
      <c r="G24" s="244"/>
      <c r="J24" s="241" t="str">
        <v>הררי</v>
      </c>
      <c r="K24" s="241" t="str">
        <v>יוני</v>
      </c>
      <c r="L24" s="241" t="str">
        <v>מוסמך</v>
      </c>
      <c r="M24" s="241" t="str">
        <v>מורשה</v>
      </c>
    </row>
    <row r="25" spans="2:13" ht="30" customHeight="1">
      <c r="B25" s="247"/>
      <c r="C25" s="246"/>
      <c r="D25" s="258"/>
      <c r="E25" s="240"/>
      <c r="F25" s="259"/>
      <c r="G25" s="239"/>
      <c r="J25" s="241" t="str">
        <v>זילברמן</v>
      </c>
      <c r="K25" s="241" t="str">
        <v>איתי</v>
      </c>
      <c r="L25" s="241" t="str">
        <v>מוסמך</v>
      </c>
      <c r="M25" s="241" t="str">
        <v>מורשה</v>
      </c>
    </row>
    <row r="26" spans="2:13" ht="30" customHeight="1">
      <c r="B26" s="247"/>
      <c r="C26" s="246"/>
      <c r="D26" s="245"/>
      <c r="E26" s="246"/>
      <c r="F26" s="259"/>
      <c r="G26" s="239"/>
      <c r="J26" s="241" t="str">
        <v>זלצר</v>
      </c>
      <c r="K26" s="241" t="str">
        <v>נועה</v>
      </c>
      <c r="L26" s="241" t="str">
        <v>מוסמך</v>
      </c>
      <c r="M26" s="241" t="str">
        <v>מורשה</v>
      </c>
    </row>
    <row r="27" spans="2:13" ht="30" customHeight="1">
      <c r="B27" s="247"/>
      <c r="C27" s="246"/>
      <c r="D27" s="245"/>
      <c r="E27" s="246"/>
      <c r="F27" s="243"/>
      <c r="G27" s="244"/>
      <c r="J27" s="241" t="str">
        <v>כהן</v>
      </c>
      <c r="K27" s="241" t="str">
        <v>אורי</v>
      </c>
      <c r="L27" s="241" t="str">
        <v>מוסמך</v>
      </c>
      <c r="M27" s="241" t="str">
        <v>מורשה</v>
      </c>
    </row>
    <row r="28" spans="2:13" ht="30" customHeight="1">
      <c r="B28" s="247"/>
      <c r="C28" s="246"/>
      <c r="D28" s="245"/>
      <c r="E28" s="246"/>
      <c r="F28" s="243"/>
      <c r="G28" s="244"/>
      <c r="J28" s="241" t="str">
        <v>כהן</v>
      </c>
      <c r="K28" s="241" t="str">
        <v>עדי</v>
      </c>
      <c r="L28" s="241" t="str">
        <v>לא מוסמך</v>
      </c>
      <c r="M28" s="241" t="str">
        <v>לא מורשה</v>
      </c>
    </row>
    <row r="29" spans="2:13" ht="30" customHeight="1">
      <c r="B29" s="247"/>
      <c r="C29" s="246"/>
      <c r="D29" s="258"/>
      <c r="E29" s="240"/>
      <c r="F29" s="243"/>
      <c r="G29" s="244"/>
      <c r="J29" s="241" t="str">
        <v>לרנר</v>
      </c>
      <c r="K29" s="241" t="str">
        <v>יובל</v>
      </c>
      <c r="L29" s="241" t="str">
        <v>מוסמך</v>
      </c>
      <c r="M29" s="241" t="str">
        <v>מורשה</v>
      </c>
    </row>
    <row r="30" spans="2:13" ht="30" customHeight="1">
      <c r="B30" s="257"/>
      <c r="C30" s="240"/>
      <c r="D30" s="245"/>
      <c r="E30" s="246"/>
      <c r="F30" s="245"/>
      <c r="G30" s="248"/>
      <c r="J30" s="241" t="str">
        <v>לרנר</v>
      </c>
      <c r="K30" s="241" t="str">
        <v>אלעד</v>
      </c>
      <c r="L30" s="241" t="str">
        <v>מוסמך</v>
      </c>
      <c r="M30" s="241" t="str">
        <v>מורשה</v>
      </c>
    </row>
    <row r="31" spans="2:13" ht="30" customHeight="1" thickBot="1">
      <c r="B31" s="249"/>
      <c r="C31" s="250"/>
      <c r="D31" s="251"/>
      <c r="E31" s="250"/>
      <c r="F31" s="260"/>
      <c r="G31" s="261"/>
      <c r="J31" s="241" t="str">
        <v>מגן</v>
      </c>
      <c r="K31" s="241" t="str">
        <v>נדב</v>
      </c>
      <c r="L31" s="241" t="str">
        <v>מוסמך</v>
      </c>
      <c r="M31" s="241" t="str">
        <v>מורשה</v>
      </c>
    </row>
    <row r="32" spans="2:13" ht="30" customHeight="1" thickTop="1">
      <c r="J32" s="241" t="str">
        <v>מור</v>
      </c>
      <c r="K32" s="241" t="str">
        <v>ניר</v>
      </c>
      <c r="L32" s="241" t="str">
        <v>מוסמך</v>
      </c>
      <c r="M32" s="241" t="str">
        <v>מורשה</v>
      </c>
    </row>
    <row r="33" spans="10:13" ht="30" customHeight="1">
      <c r="J33" s="241" t="str">
        <v>נחשון</v>
      </c>
      <c r="K33" s="241" t="str">
        <v>דנה</v>
      </c>
      <c r="L33" s="241" t="str">
        <v>לא מוסמך</v>
      </c>
      <c r="M33" s="241" t="str">
        <v>לא מורשה</v>
      </c>
    </row>
    <row r="34" spans="10:13" ht="30" customHeight="1">
      <c r="J34" s="241" t="str">
        <v>פלג</v>
      </c>
      <c r="K34" s="241" t="str">
        <v>נדב</v>
      </c>
      <c r="L34" s="241" t="str">
        <v>מוסמך</v>
      </c>
      <c r="M34" s="241" t="str">
        <v>מורשה</v>
      </c>
    </row>
    <row r="35" spans="10:13" ht="30" customHeight="1">
      <c r="J35" s="241" t="str">
        <v>פרידמן</v>
      </c>
      <c r="K35" s="241" t="str">
        <v>רונית</v>
      </c>
      <c r="L35" s="241" t="str">
        <v>לא מוסמך</v>
      </c>
      <c r="M35" s="241" t="str">
        <v>לא מורשה</v>
      </c>
    </row>
    <row r="36" spans="10:13" ht="30" customHeight="1">
      <c r="J36" s="241" t="str">
        <v>פרץ</v>
      </c>
      <c r="K36" s="241" t="str">
        <v>תמר</v>
      </c>
      <c r="L36" s="241" t="str">
        <v>מוסמך</v>
      </c>
      <c r="M36" s="241" t="str">
        <v>מורשה</v>
      </c>
    </row>
    <row r="37" spans="10:13" ht="30" customHeight="1">
      <c r="J37" s="241" t="str">
        <v>קפלן</v>
      </c>
      <c r="K37" s="241" t="str">
        <v>רונית</v>
      </c>
      <c r="L37" s="241" t="str">
        <v>לא מוסמך</v>
      </c>
      <c r="M37" s="241" t="str">
        <v>לא מורשה</v>
      </c>
    </row>
    <row r="38" spans="10:13" ht="30" customHeight="1">
      <c r="J38" s="241" t="str">
        <v>קרמר</v>
      </c>
      <c r="K38" s="241" t="str">
        <v>דניאל</v>
      </c>
      <c r="L38" s="241" t="str">
        <v>מוסמך</v>
      </c>
      <c r="M38" s="241" t="str">
        <v>מורשה</v>
      </c>
    </row>
    <row r="39" spans="10:13">
      <c r="J39" s="241" t="str">
        <v>רוזן</v>
      </c>
      <c r="K39" s="241" t="str">
        <v>נעם</v>
      </c>
      <c r="L39" s="241" t="str">
        <v>מוסמך</v>
      </c>
      <c r="M39" s="241" t="str">
        <v>מורשה</v>
      </c>
    </row>
    <row r="40" spans="10:13">
      <c r="J40" s="241" t="str">
        <v>רוזנבלום</v>
      </c>
      <c r="K40" s="241" t="str">
        <v>טל</v>
      </c>
      <c r="L40" s="241" t="str">
        <v>מוסמך</v>
      </c>
      <c r="M40" s="241" t="str">
        <v>מורשה</v>
      </c>
    </row>
    <row r="41" spans="10:13">
      <c r="J41" s="241" t="str">
        <v>רז</v>
      </c>
      <c r="K41" s="241" t="str">
        <v>אלעד</v>
      </c>
      <c r="L41" s="241" t="str">
        <v>לא מוסמך</v>
      </c>
      <c r="M41" s="241" t="str">
        <v>לא מורשה</v>
      </c>
    </row>
    <row r="42" spans="10:13">
      <c r="J42" s="241" t="str">
        <v>רפפורט</v>
      </c>
      <c r="K42" s="241" t="str">
        <v>תומר</v>
      </c>
      <c r="L42" s="241" t="str">
        <v>מוסמך</v>
      </c>
      <c r="M42" s="241" t="str">
        <v>מורשה</v>
      </c>
    </row>
    <row r="43" spans="10:13">
      <c r="J43" s="241" t="str">
        <v>שגיא</v>
      </c>
      <c r="K43" s="241" t="str">
        <v>ליאת</v>
      </c>
      <c r="L43" s="241" t="str">
        <v>מוסמך</v>
      </c>
      <c r="M43" s="241" t="str">
        <v>מורשה</v>
      </c>
    </row>
    <row r="44" spans="10:13">
      <c r="J44" s="241" t="str">
        <v>שדה</v>
      </c>
      <c r="K44" s="241" t="str">
        <v>ליאור</v>
      </c>
      <c r="L44" s="241" t="str">
        <v>מוסמך</v>
      </c>
      <c r="M44" s="241" t="str">
        <v>מורשה</v>
      </c>
    </row>
    <row r="45" spans="10:13">
      <c r="J45" s="241" t="str">
        <v>שדה</v>
      </c>
      <c r="K45" s="241" t="str">
        <v>יערה</v>
      </c>
      <c r="L45" s="241" t="str">
        <v>מוסמך</v>
      </c>
      <c r="M45" s="241" t="str">
        <v>מורשה</v>
      </c>
    </row>
    <row r="46" spans="10:13">
      <c r="J46" s="241" t="str">
        <v>שחם</v>
      </c>
      <c r="K46" s="241" t="str">
        <v>רועי</v>
      </c>
      <c r="L46" s="241" t="str">
        <v>מוסמך</v>
      </c>
      <c r="M46" s="241" t="str">
        <v>מורשה</v>
      </c>
    </row>
    <row r="47" spans="10:13">
      <c r="J47" s="241" t="str">
        <v>שמיר</v>
      </c>
      <c r="K47" s="241" t="str">
        <v>אביגיל</v>
      </c>
      <c r="L47" s="241" t="str">
        <v>מוסמך</v>
      </c>
      <c r="M47" s="241" t="str">
        <v>מורשה</v>
      </c>
    </row>
    <row r="48" spans="10:13">
      <c r="J48" s="241" t="str">
        <v>שמר</v>
      </c>
      <c r="K48" s="241" t="str">
        <v>גל</v>
      </c>
      <c r="L48" s="241" t="str">
        <v>מוסמך</v>
      </c>
      <c r="M48" s="241" t="str">
        <v>מורשה</v>
      </c>
    </row>
    <row r="49" spans="10:13">
      <c r="J49" s="241" t="str">
        <v>שמש</v>
      </c>
      <c r="K49" s="241" t="str">
        <v>מיכל</v>
      </c>
      <c r="L49" s="241" t="str">
        <v>מוסמך</v>
      </c>
      <c r="M49" s="241" t="str">
        <v>מורשה</v>
      </c>
    </row>
    <row r="50" spans="10:13">
      <c r="J50" s="241" t="str">
        <v>שפירא</v>
      </c>
      <c r="K50" s="241" t="str">
        <v>יונתן</v>
      </c>
      <c r="L50" s="241" t="str">
        <v>מוסמך</v>
      </c>
      <c r="M50" s="241" t="str">
        <v>מורשה</v>
      </c>
    </row>
    <row r="51" spans="10:13">
      <c r="J51" s="241" t="str">
        <v>שרון</v>
      </c>
      <c r="K51" s="241" t="str">
        <v>גלי</v>
      </c>
      <c r="L51" s="241" t="str">
        <v>מוסמך</v>
      </c>
      <c r="M51" s="241" t="str">
        <v>מורשה</v>
      </c>
    </row>
  </sheetData>
  <mergeCells count="1">
    <mergeCell ref="C2:F2"/>
  </mergeCells>
  <conditionalFormatting sqref="L1:M1048576">
    <cfRule type="containsText" dxfId="2" priority="1" operator="containsText" text="לא">
      <formula>NOT(ISERROR(SEARCH("לא",L1)))</formula>
    </cfRule>
  </conditionalFormatting>
  <pageMargins left="0.7" right="0.7" top="0.75" bottom="0.75" header="0.3" footer="0.3"/>
  <pageSetup paperSize="9" scale="65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7B972-56D9-4F66-9589-E8F6EBA01669}">
  <sheetPr codeName="גיליון10">
    <tabColor rgb="FFCC9900"/>
  </sheetPr>
  <dimension ref="A1:AG87"/>
  <sheetViews>
    <sheetView rightToLeft="1" zoomScale="70" zoomScaleNormal="70" workbookViewId="0">
      <selection activeCell="Y1" sqref="Y1"/>
    </sheetView>
  </sheetViews>
  <sheetFormatPr defaultRowHeight="13.8"/>
  <cols>
    <col min="4" max="4" width="9.8984375" bestFit="1" customWidth="1"/>
    <col min="11" max="11" width="12" bestFit="1" customWidth="1"/>
    <col min="12" max="12" width="13" bestFit="1" customWidth="1"/>
    <col min="13" max="13" width="13.5" bestFit="1" customWidth="1"/>
    <col min="14" max="14" width="13.3984375" bestFit="1" customWidth="1"/>
  </cols>
  <sheetData>
    <row r="1" spans="1:33" ht="14.4" thickBot="1">
      <c r="A1" t="s">
        <v>82</v>
      </c>
      <c r="B1" t="s">
        <v>318</v>
      </c>
      <c r="X1" t="s">
        <v>82</v>
      </c>
      <c r="Y1" t="str">
        <f>NameSearchCell</f>
        <v>בן דוד מאיה</v>
      </c>
      <c r="AG1" t="str">
        <f>NameSearchCell</f>
        <v>בן דוד מאיה</v>
      </c>
    </row>
    <row r="2" spans="1:33">
      <c r="A2" s="194" t="s">
        <v>306</v>
      </c>
      <c r="B2" s="195" t="s">
        <v>308</v>
      </c>
      <c r="C2" s="195" t="s">
        <v>307</v>
      </c>
      <c r="D2" s="195" t="s">
        <v>309</v>
      </c>
      <c r="E2" s="195" t="s">
        <v>285</v>
      </c>
      <c r="F2" s="195" t="s">
        <v>142</v>
      </c>
      <c r="G2" s="195" t="s">
        <v>230</v>
      </c>
      <c r="H2" s="196" t="s">
        <v>58</v>
      </c>
      <c r="J2" s="194" t="s">
        <v>31</v>
      </c>
      <c r="K2" s="196" t="s">
        <v>310</v>
      </c>
      <c r="N2" s="194" t="s">
        <v>328</v>
      </c>
      <c r="O2" s="196" t="s">
        <v>327</v>
      </c>
      <c r="X2" s="194" t="s">
        <v>306</v>
      </c>
      <c r="Y2" s="195" t="s">
        <v>308</v>
      </c>
      <c r="Z2" s="195" t="s">
        <v>307</v>
      </c>
      <c r="AA2" s="195" t="s">
        <v>309</v>
      </c>
      <c r="AB2" s="195" t="s">
        <v>16</v>
      </c>
      <c r="AC2" s="195" t="s">
        <v>143</v>
      </c>
      <c r="AD2" s="196" t="s">
        <v>317</v>
      </c>
      <c r="AF2" s="194" t="s">
        <v>31</v>
      </c>
      <c r="AG2" s="196" t="s">
        <v>310</v>
      </c>
    </row>
    <row r="3" spans="1:33">
      <c r="A3" s="95">
        <v>0</v>
      </c>
      <c r="B3">
        <f ca="1">YEAR(TODAY() - DATE(0, A3+1, 0))</f>
        <v>2024</v>
      </c>
      <c r="C3">
        <f t="shared" ref="C3:C14" ca="1" si="0">MOD(MONTH(TODAY()) - $A3 - 1, 12) + 1</f>
        <v>9</v>
      </c>
      <c r="D3" s="120">
        <f ca="1">DATE(B3,C3,1)</f>
        <v>45536</v>
      </c>
      <c r="E3">
        <f ca="1">COUNTIFS(tbPerfReview[חודש],'מידע לגרפים'!$C3,tbPerfReview[שנה],'מידע לגרפים'!$B3,tbPerfReview[ציון מילולי],'מידע לגרפים'!E$2)</f>
        <v>0</v>
      </c>
      <c r="F3">
        <f ca="1">COUNTIFS(tbPerfReview[חודש],'מידע לגרפים'!$C3,tbPerfReview[שנה],'מידע לגרפים'!$B3,tbPerfReview[ציון מילולי],'מידע לגרפים'!F$2)</f>
        <v>0</v>
      </c>
      <c r="G3">
        <f ca="1">COUNTIFS(tbPerfReview[חודש],'מידע לגרפים'!$C3,tbPerfReview[שנה],'מידע לגרפים'!$B3,tbPerfReview[ציון מילולי],'מידע לגרפים'!G$2)</f>
        <v>0</v>
      </c>
      <c r="H3" s="96">
        <f ca="1">COUNTIFS(tbPerfReview[חודש],'מידע לגרפים'!$C3,tbPerfReview[שנה],'מידע לגרפים'!$B3,tbPerfReview[ציון מילולי],'מידע לגרפים'!H$2)</f>
        <v>0</v>
      </c>
      <c r="J3" s="95" t="s">
        <v>285</v>
      </c>
      <c r="K3" s="96">
        <f ca="1">COUNTIFS(tbPerfReview[האם בשנה האחרונה],TRUE,tbPerfReview[ציון מילולי],'מידע לגרפים'!$J3)</f>
        <v>2</v>
      </c>
      <c r="N3" s="95" t="s">
        <v>323</v>
      </c>
      <c r="O3" s="96">
        <f>COUNTIFS(tbEmploDetails[האם מוסמך ע.שליטה],"מוסמך",tbEmploDetails[האם מורשה ע.שליטה],"מורשה",tbEmploDetails[האם פעיל],"פעיל",tbEmploDetails[תפקיד],"&lt;&gt;אחר")</f>
        <v>37</v>
      </c>
      <c r="X3" s="95">
        <v>0</v>
      </c>
      <c r="Y3">
        <f ca="1">YEAR(TODAY() - DATE(0, X3+1, 0))</f>
        <v>2024</v>
      </c>
      <c r="Z3">
        <f t="shared" ref="Z3:Z14" ca="1" si="1">MOD(MONTH(TODAY()) - $A3 - 1, 12) + 1</f>
        <v>9</v>
      </c>
      <c r="AA3" s="120">
        <f ca="1">DATE(Y3,Z3,1)</f>
        <v>45536</v>
      </c>
      <c r="AB3">
        <f ca="1">COUNTIFS(tbPerfReview[חודש],$Z3,tbPerfReview[שנה],$Y3,tbPerfReview[מאבטח],$Y$1)</f>
        <v>0</v>
      </c>
      <c r="AC3" t="e">
        <f t="shared" ref="AC3:AC14" ca="1" si="2">IF(AD3="",NA(),AD3)</f>
        <v>#N/A</v>
      </c>
      <c r="AD3" s="96" t="str">
        <f ca="1">IFERROR(AVERAGEIFS(tbPerfReview[ציון],tbPerfReview[חודש],$Z3,tbPerfReview[שנה],$Y3,tbPerfReview[מאבטח],$Y$1),"")</f>
        <v/>
      </c>
      <c r="AF3" s="95" t="s">
        <v>285</v>
      </c>
      <c r="AG3" s="96">
        <f ca="1">COUNTIFS(tbPerfReview[האם בשנה האחרונה],TRUE,tbPerfReview[ציון מילולי],$AF3,tbPerfReview[מאבטח],$AG$1)</f>
        <v>0</v>
      </c>
    </row>
    <row r="4" spans="1:33">
      <c r="A4" s="95">
        <v>1</v>
      </c>
      <c r="B4">
        <f t="shared" ref="B4:B14" ca="1" si="3">YEAR(TODAY() - DATE(0, A4+1, 0))</f>
        <v>2024</v>
      </c>
      <c r="C4">
        <f t="shared" ca="1" si="0"/>
        <v>8</v>
      </c>
      <c r="D4" s="120">
        <f t="shared" ref="D4:D14" ca="1" si="4">DATE(B4,C4,1)</f>
        <v>45505</v>
      </c>
      <c r="E4">
        <f ca="1">COUNTIFS(tbPerfReview[חודש],'מידע לגרפים'!$C4,tbPerfReview[שנה],'מידע לגרפים'!$B4,tbPerfReview[ציון מילולי],'מידע לגרפים'!E$2)</f>
        <v>0</v>
      </c>
      <c r="F4">
        <f ca="1">COUNTIFS(tbPerfReview[חודש],'מידע לגרפים'!$C4,tbPerfReview[שנה],'מידע לגרפים'!$B4,tbPerfReview[ציון מילולי],'מידע לגרפים'!F$2)</f>
        <v>0</v>
      </c>
      <c r="G4">
        <f ca="1">COUNTIFS(tbPerfReview[חודש],'מידע לגרפים'!$C4,tbPerfReview[שנה],'מידע לגרפים'!$B4,tbPerfReview[ציון מילולי],'מידע לגרפים'!G$2)</f>
        <v>0</v>
      </c>
      <c r="H4" s="96">
        <f ca="1">COUNTIFS(tbPerfReview[חודש],'מידע לגרפים'!$C4,tbPerfReview[שנה],'מידע לגרפים'!$B4,tbPerfReview[ציון מילולי],'מידע לגרפים'!H$2)</f>
        <v>0</v>
      </c>
      <c r="J4" s="95" t="s">
        <v>142</v>
      </c>
      <c r="K4" s="96">
        <f ca="1">COUNTIFS(tbPerfReview[האם בשנה האחרונה],TRUE,tbPerfReview[ציון מילולי],'מידע לגרפים'!$J4)</f>
        <v>0</v>
      </c>
      <c r="N4" s="95" t="s">
        <v>326</v>
      </c>
      <c r="O4" s="96">
        <f>COUNTIFS(tbEmploDetails[האם מוסמך ע.שליטה],"מוסמך",tbEmploDetails[האם מורשה ע.שליטה],"לא מורשה",tbEmploDetails[האם פעיל],"פעיל",tbEmploDetails[תפקיד],"&lt;&gt;אחר")</f>
        <v>0</v>
      </c>
      <c r="X4" s="95">
        <v>1</v>
      </c>
      <c r="Y4">
        <f t="shared" ref="Y4:Y14" ca="1" si="5">YEAR(TODAY() - DATE(0, X4+1, 0))</f>
        <v>2024</v>
      </c>
      <c r="Z4">
        <f t="shared" ca="1" si="1"/>
        <v>8</v>
      </c>
      <c r="AA4" s="120">
        <f t="shared" ref="AA4:AA14" ca="1" si="6">DATE(Y4,Z4,1)</f>
        <v>45505</v>
      </c>
      <c r="AB4">
        <f ca="1">COUNTIFS(tbPerfReview[חודש],$Z4,tbPerfReview[שנה],$Y4,tbPerfReview[מאבטח],$Y$1)</f>
        <v>0</v>
      </c>
      <c r="AC4" t="e">
        <f t="shared" ca="1" si="2"/>
        <v>#N/A</v>
      </c>
      <c r="AD4" s="96" t="str">
        <f ca="1">IFERROR(AVERAGEIFS(tbPerfReview[ציון],tbPerfReview[חודש],$Z4,tbPerfReview[שנה],$Y4,tbPerfReview[מאבטח],$Y$1),"")</f>
        <v/>
      </c>
      <c r="AF4" s="95" t="s">
        <v>142</v>
      </c>
      <c r="AG4" s="96">
        <f ca="1">COUNTIFS(tbPerfReview[האם בשנה האחרונה],TRUE,tbPerfReview[ציון מילולי],$AF4,tbPerfReview[מאבטח],$AG$1)</f>
        <v>0</v>
      </c>
    </row>
    <row r="5" spans="1:33" ht="14.4" thickBot="1">
      <c r="A5" s="95">
        <v>2</v>
      </c>
      <c r="B5">
        <f t="shared" ca="1" si="3"/>
        <v>2024</v>
      </c>
      <c r="C5">
        <f t="shared" ca="1" si="0"/>
        <v>7</v>
      </c>
      <c r="D5" s="120">
        <f t="shared" ca="1" si="4"/>
        <v>45474</v>
      </c>
      <c r="E5">
        <f ca="1">COUNTIFS(tbPerfReview[חודש],'מידע לגרפים'!$C5,tbPerfReview[שנה],'מידע לגרפים'!$B5,tbPerfReview[ציון מילולי],'מידע לגרפים'!E$2)</f>
        <v>0</v>
      </c>
      <c r="F5">
        <f ca="1">COUNTIFS(tbPerfReview[חודש],'מידע לגרפים'!$C5,tbPerfReview[שנה],'מידע לגרפים'!$B5,tbPerfReview[ציון מילולי],'מידע לגרפים'!F$2)</f>
        <v>0</v>
      </c>
      <c r="G5">
        <f ca="1">COUNTIFS(tbPerfReview[חודש],'מידע לגרפים'!$C5,tbPerfReview[שנה],'מידע לגרפים'!$B5,tbPerfReview[ציון מילולי],'מידע לגרפים'!G$2)</f>
        <v>0</v>
      </c>
      <c r="H5" s="96">
        <f ca="1">COUNTIFS(tbPerfReview[חודש],'מידע לגרפים'!$C5,tbPerfReview[שנה],'מידע לגרפים'!$B5,tbPerfReview[ציון מילולי],'מידע לגרפים'!H$2)</f>
        <v>0</v>
      </c>
      <c r="J5" s="95" t="s">
        <v>230</v>
      </c>
      <c r="K5" s="96">
        <f ca="1">COUNTIFS(tbPerfReview[האם בשנה האחרונה],TRUE,tbPerfReview[ציון מילולי],'מידע לגרפים'!$J5)</f>
        <v>2</v>
      </c>
      <c r="N5" s="197" t="s">
        <v>324</v>
      </c>
      <c r="O5" s="200">
        <f>COUNTIFS(tbEmploDetails[האם מוסמך ע.שליטה],"לא מוסמך",tbEmploDetails[האם פעיל],"פעיל",tbEmploDetails[תפקיד],"&lt;&gt;אחר")</f>
        <v>11</v>
      </c>
      <c r="X5" s="95">
        <v>2</v>
      </c>
      <c r="Y5">
        <f t="shared" ca="1" si="5"/>
        <v>2024</v>
      </c>
      <c r="Z5">
        <f t="shared" ca="1" si="1"/>
        <v>7</v>
      </c>
      <c r="AA5" s="120">
        <f t="shared" ca="1" si="6"/>
        <v>45474</v>
      </c>
      <c r="AB5">
        <f ca="1">COUNTIFS(tbPerfReview[חודש],$Z5,tbPerfReview[שנה],$Y5,tbPerfReview[מאבטח],$Y$1)</f>
        <v>0</v>
      </c>
      <c r="AC5" t="e">
        <f t="shared" ca="1" si="2"/>
        <v>#N/A</v>
      </c>
      <c r="AD5" s="96" t="str">
        <f ca="1">IFERROR(AVERAGEIFS(tbPerfReview[ציון],tbPerfReview[חודש],$Z5,tbPerfReview[שנה],$Y5,tbPerfReview[מאבטח],$Y$1),"")</f>
        <v/>
      </c>
      <c r="AF5" s="95" t="s">
        <v>230</v>
      </c>
      <c r="AG5" s="96">
        <f ca="1">COUNTIFS(tbPerfReview[האם בשנה האחרונה],TRUE,tbPerfReview[ציון מילולי],$AF5,tbPerfReview[מאבטח],$AG$1)</f>
        <v>0</v>
      </c>
    </row>
    <row r="6" spans="1:33" ht="14.4" thickBot="1">
      <c r="A6" s="95">
        <v>3</v>
      </c>
      <c r="B6">
        <f t="shared" ca="1" si="3"/>
        <v>2024</v>
      </c>
      <c r="C6">
        <f t="shared" ca="1" si="0"/>
        <v>6</v>
      </c>
      <c r="D6" s="120">
        <f t="shared" ca="1" si="4"/>
        <v>45444</v>
      </c>
      <c r="E6">
        <f ca="1">COUNTIFS(tbPerfReview[חודש],'מידע לגרפים'!$C6,tbPerfReview[שנה],'מידע לגרפים'!$B6,tbPerfReview[ציון מילולי],'מידע לגרפים'!E$2)</f>
        <v>0</v>
      </c>
      <c r="F6">
        <f ca="1">COUNTIFS(tbPerfReview[חודש],'מידע לגרפים'!$C6,tbPerfReview[שנה],'מידע לגרפים'!$B6,tbPerfReview[ציון מילולי],'מידע לגרפים'!F$2)</f>
        <v>0</v>
      </c>
      <c r="G6">
        <f ca="1">COUNTIFS(tbPerfReview[חודש],'מידע לגרפים'!$C6,tbPerfReview[שנה],'מידע לגרפים'!$B6,tbPerfReview[ציון מילולי],'מידע לגרפים'!G$2)</f>
        <v>0</v>
      </c>
      <c r="H6" s="96">
        <f ca="1">COUNTIFS(tbPerfReview[חודש],'מידע לגרפים'!$C6,tbPerfReview[שנה],'מידע לגרפים'!$B6,tbPerfReview[ציון מילולי],'מידע לגרפים'!H$2)</f>
        <v>0</v>
      </c>
      <c r="J6" s="197" t="s">
        <v>58</v>
      </c>
      <c r="K6" s="200">
        <f ca="1">COUNTIFS(tbPerfReview[האם בשנה האחרונה],TRUE,tbPerfReview[ציון מילולי],'מידע לגרפים'!$J6)</f>
        <v>1</v>
      </c>
      <c r="X6" s="95">
        <v>3</v>
      </c>
      <c r="Y6">
        <f t="shared" ca="1" si="5"/>
        <v>2024</v>
      </c>
      <c r="Z6">
        <f t="shared" ca="1" si="1"/>
        <v>6</v>
      </c>
      <c r="AA6" s="120">
        <f t="shared" ca="1" si="6"/>
        <v>45444</v>
      </c>
      <c r="AB6">
        <f ca="1">COUNTIFS(tbPerfReview[חודש],$Z6,tbPerfReview[שנה],$Y6,tbPerfReview[מאבטח],$Y$1)</f>
        <v>0</v>
      </c>
      <c r="AC6" t="e">
        <f t="shared" ca="1" si="2"/>
        <v>#N/A</v>
      </c>
      <c r="AD6" s="96" t="str">
        <f ca="1">IFERROR(AVERAGEIFS(tbPerfReview[ציון],tbPerfReview[חודש],$Z6,tbPerfReview[שנה],$Y6,tbPerfReview[מאבטח],$Y$1),"")</f>
        <v/>
      </c>
      <c r="AF6" s="197" t="s">
        <v>58</v>
      </c>
      <c r="AG6" s="200">
        <f ca="1">COUNTIFS(tbPerfReview[האם בשנה האחרונה],TRUE,tbPerfReview[ציון מילולי],$AF6,tbPerfReview[מאבטח],$AG$1)</f>
        <v>0</v>
      </c>
    </row>
    <row r="7" spans="1:33" ht="14.4" thickBot="1">
      <c r="A7" s="95">
        <v>4</v>
      </c>
      <c r="B7">
        <f t="shared" ca="1" si="3"/>
        <v>2024</v>
      </c>
      <c r="C7">
        <f t="shared" ca="1" si="0"/>
        <v>5</v>
      </c>
      <c r="D7" s="120">
        <f t="shared" ca="1" si="4"/>
        <v>45413</v>
      </c>
      <c r="E7">
        <f ca="1">COUNTIFS(tbPerfReview[חודש],'מידע לגרפים'!$C7,tbPerfReview[שנה],'מידע לגרפים'!$B7,tbPerfReview[ציון מילולי],'מידע לגרפים'!E$2)</f>
        <v>0</v>
      </c>
      <c r="F7">
        <f ca="1">COUNTIFS(tbPerfReview[חודש],'מידע לגרפים'!$C7,tbPerfReview[שנה],'מידע לגרפים'!$B7,tbPerfReview[ציון מילולי],'מידע לגרפים'!F$2)</f>
        <v>0</v>
      </c>
      <c r="G7">
        <f ca="1">COUNTIFS(tbPerfReview[חודש],'מידע לגרפים'!$C7,tbPerfReview[שנה],'מידע לגרפים'!$B7,tbPerfReview[ציון מילולי],'מידע לגרפים'!G$2)</f>
        <v>0</v>
      </c>
      <c r="H7" s="96">
        <f ca="1">COUNTIFS(tbPerfReview[חודש],'מידע לגרפים'!$C7,tbPerfReview[שנה],'מידע לגרפים'!$B7,tbPerfReview[ציון מילולי],'מידע לגרפים'!H$2)</f>
        <v>0</v>
      </c>
      <c r="X7" s="95">
        <v>4</v>
      </c>
      <c r="Y7">
        <f t="shared" ca="1" si="5"/>
        <v>2024</v>
      </c>
      <c r="Z7">
        <f t="shared" ca="1" si="1"/>
        <v>5</v>
      </c>
      <c r="AA7" s="120">
        <f t="shared" ca="1" si="6"/>
        <v>45413</v>
      </c>
      <c r="AB7">
        <f ca="1">COUNTIFS(tbPerfReview[חודש],$Z7,tbPerfReview[שנה],$Y7,tbPerfReview[מאבטח],$Y$1)</f>
        <v>0</v>
      </c>
      <c r="AC7" t="e">
        <f t="shared" ca="1" si="2"/>
        <v>#N/A</v>
      </c>
      <c r="AD7" s="96" t="str">
        <f ca="1">IFERROR(AVERAGEIFS(tbPerfReview[ציון],tbPerfReview[חודש],$Z7,tbPerfReview[שנה],$Y7,tbPerfReview[מאבטח],$Y$1),"")</f>
        <v/>
      </c>
    </row>
    <row r="8" spans="1:33">
      <c r="A8" s="95">
        <v>5</v>
      </c>
      <c r="B8">
        <f t="shared" ca="1" si="3"/>
        <v>2024</v>
      </c>
      <c r="C8">
        <f t="shared" ca="1" si="0"/>
        <v>4</v>
      </c>
      <c r="D8" s="120">
        <f t="shared" ca="1" si="4"/>
        <v>45383</v>
      </c>
      <c r="E8">
        <f ca="1">COUNTIFS(tbPerfReview[חודש],'מידע לגרפים'!$C8,tbPerfReview[שנה],'מידע לגרפים'!$B8,tbPerfReview[ציון מילולי],'מידע לגרפים'!E$2)</f>
        <v>0</v>
      </c>
      <c r="F8">
        <f ca="1">COUNTIFS(tbPerfReview[חודש],'מידע לגרפים'!$C8,tbPerfReview[שנה],'מידע לגרפים'!$B8,tbPerfReview[ציון מילולי],'מידע לגרפים'!F$2)</f>
        <v>0</v>
      </c>
      <c r="G8">
        <f ca="1">COUNTIFS(tbPerfReview[חודש],'מידע לגרפים'!$C8,tbPerfReview[שנה],'מידע לגרפים'!$B8,tbPerfReview[ציון מילולי],'מידע לגרפים'!G$2)</f>
        <v>0</v>
      </c>
      <c r="H8" s="96">
        <f ca="1">COUNTIFS(tbPerfReview[חודש],'מידע לגרפים'!$C8,tbPerfReview[שנה],'מידע לגרפים'!$B8,tbPerfReview[ציון מילולי],'מידע לגרפים'!H$2)</f>
        <v>0</v>
      </c>
      <c r="N8" s="194" t="s">
        <v>328</v>
      </c>
      <c r="O8" s="196" t="s">
        <v>329</v>
      </c>
      <c r="X8" s="95">
        <v>5</v>
      </c>
      <c r="Y8">
        <f t="shared" ca="1" si="5"/>
        <v>2024</v>
      </c>
      <c r="Z8">
        <f t="shared" ca="1" si="1"/>
        <v>4</v>
      </c>
      <c r="AA8" s="120">
        <f t="shared" ca="1" si="6"/>
        <v>45383</v>
      </c>
      <c r="AB8">
        <f ca="1">COUNTIFS(tbPerfReview[חודש],$Z8,tbPerfReview[שנה],$Y8,tbPerfReview[מאבטח],$Y$1)</f>
        <v>0</v>
      </c>
      <c r="AC8" t="e">
        <f t="shared" ca="1" si="2"/>
        <v>#N/A</v>
      </c>
      <c r="AD8" s="96" t="str">
        <f ca="1">IFERROR(AVERAGEIFS(tbPerfReview[ציון],tbPerfReview[חודש],$Z8,tbPerfReview[שנה],$Y8,tbPerfReview[מאבטח],$Y$1),"")</f>
        <v/>
      </c>
    </row>
    <row r="9" spans="1:33">
      <c r="A9" s="95">
        <v>6</v>
      </c>
      <c r="B9">
        <f t="shared" ca="1" si="3"/>
        <v>2024</v>
      </c>
      <c r="C9">
        <f t="shared" ca="1" si="0"/>
        <v>3</v>
      </c>
      <c r="D9" s="120">
        <f t="shared" ca="1" si="4"/>
        <v>45352</v>
      </c>
      <c r="E9">
        <f ca="1">COUNTIFS(tbPerfReview[חודש],'מידע לגרפים'!$C9,tbPerfReview[שנה],'מידע לגרפים'!$B9,tbPerfReview[ציון מילולי],'מידע לגרפים'!E$2)</f>
        <v>0</v>
      </c>
      <c r="F9">
        <f ca="1">COUNTIFS(tbPerfReview[חודש],'מידע לגרפים'!$C9,tbPerfReview[שנה],'מידע לגרפים'!$B9,tbPerfReview[ציון מילולי],'מידע לגרפים'!F$2)</f>
        <v>0</v>
      </c>
      <c r="G9">
        <f ca="1">COUNTIFS(tbPerfReview[חודש],'מידע לגרפים'!$C9,tbPerfReview[שנה],'מידע לגרפים'!$B9,tbPerfReview[ציון מילולי],'מידע לגרפים'!G$2)</f>
        <v>0</v>
      </c>
      <c r="H9" s="96">
        <f ca="1">COUNTIFS(tbPerfReview[חודש],'מידע לגרפים'!$C9,tbPerfReview[שנה],'מידע לגרפים'!$B9,tbPerfReview[ציון מילולי],'מידע לגרפים'!H$2)</f>
        <v>0</v>
      </c>
      <c r="N9" s="95" t="s">
        <v>330</v>
      </c>
      <c r="O9" s="96">
        <f>COUNTIFS(tbEmploDetails[האם חובש],"לא חובש",tbEmploDetails[האם פעיל],"פעיל")</f>
        <v>45</v>
      </c>
      <c r="X9" s="95">
        <v>6</v>
      </c>
      <c r="Y9">
        <f t="shared" ca="1" si="5"/>
        <v>2024</v>
      </c>
      <c r="Z9">
        <f t="shared" ca="1" si="1"/>
        <v>3</v>
      </c>
      <c r="AA9" s="120">
        <f t="shared" ca="1" si="6"/>
        <v>45352</v>
      </c>
      <c r="AB9">
        <f ca="1">COUNTIFS(tbPerfReview[חודש],$Z9,tbPerfReview[שנה],$Y9,tbPerfReview[מאבטח],$Y$1)</f>
        <v>0</v>
      </c>
      <c r="AC9" t="e">
        <f t="shared" ca="1" si="2"/>
        <v>#N/A</v>
      </c>
      <c r="AD9" s="96" t="str">
        <f ca="1">IFERROR(AVERAGEIFS(tbPerfReview[ציון],tbPerfReview[חודש],$Z9,tbPerfReview[שנה],$Y9,tbPerfReview[מאבטח],$Y$1),"")</f>
        <v/>
      </c>
    </row>
    <row r="10" spans="1:33" ht="14.4" thickBot="1">
      <c r="A10" s="95">
        <v>7</v>
      </c>
      <c r="B10">
        <f t="shared" ca="1" si="3"/>
        <v>2024</v>
      </c>
      <c r="C10">
        <f t="shared" ca="1" si="0"/>
        <v>2</v>
      </c>
      <c r="D10" s="120">
        <f t="shared" ca="1" si="4"/>
        <v>45323</v>
      </c>
      <c r="E10">
        <f ca="1">COUNTIFS(tbPerfReview[חודש],'מידע לגרפים'!$C10,tbPerfReview[שנה],'מידע לגרפים'!$B10,tbPerfReview[ציון מילולי],'מידע לגרפים'!E$2)</f>
        <v>0</v>
      </c>
      <c r="F10">
        <f ca="1">COUNTIFS(tbPerfReview[חודש],'מידע לגרפים'!$C10,tbPerfReview[שנה],'מידע לגרפים'!$B10,tbPerfReview[ציון מילולי],'מידע לגרפים'!F$2)</f>
        <v>0</v>
      </c>
      <c r="G10">
        <f ca="1">COUNTIFS(tbPerfReview[חודש],'מידע לגרפים'!$C10,tbPerfReview[שנה],'מידע לגרפים'!$B10,tbPerfReview[ציון מילולי],'מידע לגרפים'!G$2)</f>
        <v>0</v>
      </c>
      <c r="H10" s="96">
        <f ca="1">COUNTIFS(tbPerfReview[חודש],'מידע לגרפים'!$C10,tbPerfReview[שנה],'מידע לגרפים'!$B10,tbPerfReview[ציון מילולי],'מידע לגרפים'!H$2)</f>
        <v>0</v>
      </c>
      <c r="N10" s="197" t="s">
        <v>329</v>
      </c>
      <c r="O10" s="200">
        <f>COUNTIFS(tbEmploDetails[האם חובש],"חובש",tbEmploDetails[האם פעיל],"פעיל")</f>
        <v>3</v>
      </c>
      <c r="X10" s="95">
        <v>7</v>
      </c>
      <c r="Y10">
        <f t="shared" ca="1" si="5"/>
        <v>2024</v>
      </c>
      <c r="Z10">
        <f t="shared" ca="1" si="1"/>
        <v>2</v>
      </c>
      <c r="AA10" s="120">
        <f t="shared" ca="1" si="6"/>
        <v>45323</v>
      </c>
      <c r="AB10">
        <f ca="1">COUNTIFS(tbPerfReview[חודש],$Z10,tbPerfReview[שנה],$Y10,tbPerfReview[מאבטח],$Y$1)</f>
        <v>0</v>
      </c>
      <c r="AC10" t="e">
        <f t="shared" ca="1" si="2"/>
        <v>#N/A</v>
      </c>
      <c r="AD10" s="96" t="str">
        <f ca="1">IFERROR(AVERAGEIFS(tbPerfReview[ציון],tbPerfReview[חודש],$Z10,tbPerfReview[שנה],$Y10,tbPerfReview[מאבטח],$Y$1),"")</f>
        <v/>
      </c>
    </row>
    <row r="11" spans="1:33">
      <c r="A11" s="95">
        <v>8</v>
      </c>
      <c r="B11">
        <f t="shared" ca="1" si="3"/>
        <v>2024</v>
      </c>
      <c r="C11">
        <f t="shared" ca="1" si="0"/>
        <v>1</v>
      </c>
      <c r="D11" s="120">
        <f t="shared" ca="1" si="4"/>
        <v>45292</v>
      </c>
      <c r="E11">
        <f ca="1">COUNTIFS(tbPerfReview[חודש],'מידע לגרפים'!$C11,tbPerfReview[שנה],'מידע לגרפים'!$B11,tbPerfReview[ציון מילולי],'מידע לגרפים'!E$2)</f>
        <v>0</v>
      </c>
      <c r="F11">
        <f ca="1">COUNTIFS(tbPerfReview[חודש],'מידע לגרפים'!$C11,tbPerfReview[שנה],'מידע לגרפים'!$B11,tbPerfReview[ציון מילולי],'מידע לגרפים'!F$2)</f>
        <v>0</v>
      </c>
      <c r="G11">
        <f ca="1">COUNTIFS(tbPerfReview[חודש],'מידע לגרפים'!$C11,tbPerfReview[שנה],'מידע לגרפים'!$B11,tbPerfReview[ציון מילולי],'מידע לגרפים'!G$2)</f>
        <v>0</v>
      </c>
      <c r="H11" s="96">
        <f ca="1">COUNTIFS(tbPerfReview[חודש],'מידע לגרפים'!$C11,tbPerfReview[שנה],'מידע לגרפים'!$B11,tbPerfReview[ציון מילולי],'מידע לגרפים'!H$2)</f>
        <v>0</v>
      </c>
      <c r="X11" s="95">
        <v>8</v>
      </c>
      <c r="Y11">
        <f t="shared" ca="1" si="5"/>
        <v>2024</v>
      </c>
      <c r="Z11">
        <f t="shared" ca="1" si="1"/>
        <v>1</v>
      </c>
      <c r="AA11" s="120">
        <f t="shared" ca="1" si="6"/>
        <v>45292</v>
      </c>
      <c r="AB11">
        <f ca="1">COUNTIFS(tbPerfReview[חודש],$Z11,tbPerfReview[שנה],$Y11,tbPerfReview[מאבטח],$Y$1)</f>
        <v>0</v>
      </c>
      <c r="AC11" t="e">
        <f t="shared" ca="1" si="2"/>
        <v>#N/A</v>
      </c>
      <c r="AD11" s="96" t="str">
        <f ca="1">IFERROR(AVERAGEIFS(tbPerfReview[ציון],tbPerfReview[חודש],$Z11,tbPerfReview[שנה],$Y11,tbPerfReview[מאבטח],$Y$1),"")</f>
        <v/>
      </c>
    </row>
    <row r="12" spans="1:33" ht="14.4" thickBot="1">
      <c r="A12" s="95">
        <v>9</v>
      </c>
      <c r="B12">
        <f t="shared" ca="1" si="3"/>
        <v>2023</v>
      </c>
      <c r="C12">
        <f t="shared" ca="1" si="0"/>
        <v>12</v>
      </c>
      <c r="D12" s="120">
        <f t="shared" ca="1" si="4"/>
        <v>45261</v>
      </c>
      <c r="E12">
        <f ca="1">COUNTIFS(tbPerfReview[חודש],'מידע לגרפים'!$C12,tbPerfReview[שנה],'מידע לגרפים'!$B12,tbPerfReview[ציון מילולי],'מידע לגרפים'!E$2)</f>
        <v>0</v>
      </c>
      <c r="F12">
        <f ca="1">COUNTIFS(tbPerfReview[חודש],'מידע לגרפים'!$C12,tbPerfReview[שנה],'מידע לגרפים'!$B12,tbPerfReview[ציון מילולי],'מידע לגרפים'!F$2)</f>
        <v>0</v>
      </c>
      <c r="G12">
        <f ca="1">COUNTIFS(tbPerfReview[חודש],'מידע לגרפים'!$C12,tbPerfReview[שנה],'מידע לגרפים'!$B12,tbPerfReview[ציון מילולי],'מידע לגרפים'!G$2)</f>
        <v>0</v>
      </c>
      <c r="H12" s="96">
        <f ca="1">COUNTIFS(tbPerfReview[חודש],'מידע לגרפים'!$C12,tbPerfReview[שנה],'מידע לגרפים'!$B12,tbPerfReview[ציון מילולי],'מידע לגרפים'!H$2)</f>
        <v>0</v>
      </c>
      <c r="X12" s="95">
        <v>9</v>
      </c>
      <c r="Y12">
        <f t="shared" ca="1" si="5"/>
        <v>2023</v>
      </c>
      <c r="Z12">
        <f t="shared" ca="1" si="1"/>
        <v>12</v>
      </c>
      <c r="AA12" s="120">
        <f t="shared" ca="1" si="6"/>
        <v>45261</v>
      </c>
      <c r="AB12">
        <f ca="1">COUNTIFS(tbPerfReview[חודש],$Z12,tbPerfReview[שנה],$Y12,tbPerfReview[מאבטח],$Y$1)</f>
        <v>0</v>
      </c>
      <c r="AC12" t="e">
        <f t="shared" ca="1" si="2"/>
        <v>#N/A</v>
      </c>
      <c r="AD12" s="96" t="str">
        <f ca="1">IFERROR(AVERAGEIFS(tbPerfReview[ציון],tbPerfReview[חודש],$Z12,tbPerfReview[שנה],$Y12,tbPerfReview[מאבטח],$Y$1),"")</f>
        <v/>
      </c>
    </row>
    <row r="13" spans="1:33">
      <c r="A13" s="95">
        <v>10</v>
      </c>
      <c r="B13">
        <f t="shared" ca="1" si="3"/>
        <v>2023</v>
      </c>
      <c r="C13">
        <f t="shared" ca="1" si="0"/>
        <v>11</v>
      </c>
      <c r="D13" s="120">
        <f t="shared" ca="1" si="4"/>
        <v>45231</v>
      </c>
      <c r="E13">
        <f ca="1">COUNTIFS(tbPerfReview[חודש],'מידע לגרפים'!$C13,tbPerfReview[שנה],'מידע לגרפים'!$B13,tbPerfReview[ציון מילולי],'מידע לגרפים'!E$2)</f>
        <v>0</v>
      </c>
      <c r="F13">
        <f ca="1">COUNTIFS(tbPerfReview[חודש],'מידע לגרפים'!$C13,tbPerfReview[שנה],'מידע לגרפים'!$B13,tbPerfReview[ציון מילולי],'מידע לגרפים'!F$2)</f>
        <v>0</v>
      </c>
      <c r="G13">
        <f ca="1">COUNTIFS(tbPerfReview[חודש],'מידע לגרפים'!$C13,tbPerfReview[שנה],'מידע לגרפים'!$B13,tbPerfReview[ציון מילולי],'מידע לגרפים'!G$2)</f>
        <v>0</v>
      </c>
      <c r="H13" s="96">
        <f ca="1">COUNTIFS(tbPerfReview[חודש],'מידע לגרפים'!$C13,tbPerfReview[שנה],'מידע לגרפים'!$B13,tbPerfReview[ציון מילולי],'מידע לגרפים'!H$2)</f>
        <v>0</v>
      </c>
      <c r="N13" s="194" t="s">
        <v>95</v>
      </c>
      <c r="O13" s="196" t="s">
        <v>95</v>
      </c>
      <c r="X13" s="95">
        <v>10</v>
      </c>
      <c r="Y13">
        <f t="shared" ca="1" si="5"/>
        <v>2023</v>
      </c>
      <c r="Z13">
        <f t="shared" ca="1" si="1"/>
        <v>11</v>
      </c>
      <c r="AA13" s="120">
        <f t="shared" ca="1" si="6"/>
        <v>45231</v>
      </c>
      <c r="AB13">
        <f ca="1">COUNTIFS(tbPerfReview[חודש],$Z13,tbPerfReview[שנה],$Y13,tbPerfReview[מאבטח],$Y$1)</f>
        <v>0</v>
      </c>
      <c r="AC13" t="e">
        <f t="shared" ca="1" si="2"/>
        <v>#N/A</v>
      </c>
      <c r="AD13" s="96" t="str">
        <f ca="1">IFERROR(AVERAGEIFS(tbPerfReview[ציון],tbPerfReview[חודש],$Z13,tbPerfReview[שנה],$Y13,tbPerfReview[מאבטח],$Y$1),"")</f>
        <v/>
      </c>
    </row>
    <row r="14" spans="1:33" ht="14.4" thickBot="1">
      <c r="A14" s="197">
        <v>11</v>
      </c>
      <c r="B14" s="198">
        <f t="shared" ca="1" si="3"/>
        <v>2023</v>
      </c>
      <c r="C14" s="198">
        <f t="shared" ca="1" si="0"/>
        <v>10</v>
      </c>
      <c r="D14" s="199">
        <f t="shared" ca="1" si="4"/>
        <v>45200</v>
      </c>
      <c r="E14" s="198">
        <f ca="1">COUNTIFS(tbPerfReview[חודש],'מידע לגרפים'!$C14,tbPerfReview[שנה],'מידע לגרפים'!$B14,tbPerfReview[ציון מילולי],'מידע לגרפים'!E$2)</f>
        <v>0</v>
      </c>
      <c r="F14" s="198">
        <f ca="1">COUNTIFS(tbPerfReview[חודש],'מידע לגרפים'!$C14,tbPerfReview[שנה],'מידע לגרפים'!$B14,tbPerfReview[ציון מילולי],'מידע לגרפים'!F$2)</f>
        <v>0</v>
      </c>
      <c r="G14" s="198">
        <f ca="1">COUNTIFS(tbPerfReview[חודש],'מידע לגרפים'!$C14,tbPerfReview[שנה],'מידע לגרפים'!$B14,tbPerfReview[ציון מילולי],'מידע לגרפים'!G$2)</f>
        <v>0</v>
      </c>
      <c r="H14" s="200">
        <f ca="1">COUNTIFS(tbPerfReview[חודש],'מידע לגרפים'!$C14,tbPerfReview[שנה],'מידע לגרפים'!$B14,tbPerfReview[ציון מילולי],'מידע לגרפים'!H$2)</f>
        <v>0</v>
      </c>
      <c r="N14" s="95" t="s">
        <v>93</v>
      </c>
      <c r="O14" s="96">
        <f>COUNTIFS(tbEmploDetails[האם פעיל],"פעיל",tbEmploDetails[תפקיד],'מידע לגרפים'!$N14)</f>
        <v>38</v>
      </c>
      <c r="X14" s="197">
        <v>11</v>
      </c>
      <c r="Y14" s="198">
        <f t="shared" ca="1" si="5"/>
        <v>2023</v>
      </c>
      <c r="Z14" s="198">
        <f t="shared" ca="1" si="1"/>
        <v>10</v>
      </c>
      <c r="AA14" s="199">
        <f t="shared" ca="1" si="6"/>
        <v>45200</v>
      </c>
      <c r="AB14" s="198">
        <f ca="1">COUNTIFS(tbPerfReview[חודש],$Z14,tbPerfReview[שנה],$Y14,tbPerfReview[מאבטח],$Y$1)</f>
        <v>0</v>
      </c>
      <c r="AC14" s="198" t="e">
        <f t="shared" ca="1" si="2"/>
        <v>#N/A</v>
      </c>
      <c r="AD14" s="200" t="str">
        <f ca="1">IFERROR(AVERAGEIFS(tbPerfReview[ציון],tbPerfReview[חודש],$Z14,tbPerfReview[שנה],$Y14,tbPerfReview[מאבטח],$Y$1),"")</f>
        <v/>
      </c>
    </row>
    <row r="15" spans="1:33">
      <c r="N15" s="95" t="s">
        <v>96</v>
      </c>
      <c r="O15" s="96">
        <f>COUNTIFS(tbEmploDetails[האם פעיל],"פעיל",tbEmploDetails[תפקיד],'מידע לגרפים'!$N15)</f>
        <v>3</v>
      </c>
    </row>
    <row r="16" spans="1:33" ht="14.4" thickBot="1">
      <c r="A16" t="s">
        <v>81</v>
      </c>
      <c r="B16" t="s">
        <v>318</v>
      </c>
      <c r="N16" s="95" t="s">
        <v>97</v>
      </c>
      <c r="O16" s="96">
        <f>COUNTIFS(tbEmploDetails[האם פעיל],"פעיל",tbEmploDetails[תפקיד],'מידע לגרפים'!$N16)</f>
        <v>1</v>
      </c>
      <c r="X16" t="s">
        <v>81</v>
      </c>
      <c r="Y16" t="str">
        <f>NameSearchCell</f>
        <v>בן דוד מאיה</v>
      </c>
      <c r="AG16" t="str">
        <f>NameSearchCell</f>
        <v>בן דוד מאיה</v>
      </c>
    </row>
    <row r="17" spans="1:33">
      <c r="A17" s="194" t="s">
        <v>306</v>
      </c>
      <c r="B17" s="195" t="s">
        <v>308</v>
      </c>
      <c r="C17" s="195" t="s">
        <v>307</v>
      </c>
      <c r="D17" s="195" t="s">
        <v>309</v>
      </c>
      <c r="E17" s="195" t="s">
        <v>56</v>
      </c>
      <c r="F17" s="195" t="s">
        <v>54</v>
      </c>
      <c r="G17" s="195" t="s">
        <v>55</v>
      </c>
      <c r="H17" s="196" t="s">
        <v>57</v>
      </c>
      <c r="J17" s="194" t="s">
        <v>31</v>
      </c>
      <c r="K17" s="196" t="s">
        <v>311</v>
      </c>
      <c r="N17" s="95" t="s">
        <v>98</v>
      </c>
      <c r="O17" s="96">
        <f>COUNTIFS(tbEmploDetails[האם פעיל],"פעיל",tbEmploDetails[תפקיד],'מידע לגרפים'!$N17)</f>
        <v>4</v>
      </c>
      <c r="X17" s="194" t="s">
        <v>306</v>
      </c>
      <c r="Y17" s="195" t="s">
        <v>308</v>
      </c>
      <c r="Z17" s="195" t="s">
        <v>307</v>
      </c>
      <c r="AA17" s="195" t="s">
        <v>309</v>
      </c>
      <c r="AB17" s="195" t="s">
        <v>14</v>
      </c>
      <c r="AC17" s="195" t="s">
        <v>143</v>
      </c>
      <c r="AD17" s="196" t="s">
        <v>317</v>
      </c>
      <c r="AF17" s="194" t="s">
        <v>31</v>
      </c>
      <c r="AG17" s="196" t="s">
        <v>311</v>
      </c>
    </row>
    <row r="18" spans="1:33">
      <c r="A18" s="95">
        <v>0</v>
      </c>
      <c r="B18">
        <f ca="1">YEAR(TODAY() - DATE(0, A18+1, 0))</f>
        <v>2024</v>
      </c>
      <c r="C18">
        <f t="shared" ref="C18:C29" ca="1" si="7">MOD(MONTH(TODAY()) - $A18 - 1, 12) + 1</f>
        <v>9</v>
      </c>
      <c r="D18" s="120">
        <f ca="1">DATE(B18,C18,1)</f>
        <v>45536</v>
      </c>
      <c r="E18">
        <f ca="1">COUNTIFS(tbDrills[חודש],'מידע לגרפים'!$C18,tbDrills[שנה],'מידע לגרפים'!$B18,tbDrills[ציון מילולי],'מידע לגרפים'!E$17)</f>
        <v>0</v>
      </c>
      <c r="F18">
        <f ca="1">COUNTIFS(tbDrills[חודש],'מידע לגרפים'!$C18,tbDrills[שנה],'מידע לגרפים'!$B18,tbDrills[ציון מילולי],'מידע לגרפים'!F$17)</f>
        <v>0</v>
      </c>
      <c r="G18">
        <f ca="1">COUNTIFS(tbDrills[חודש],'מידע לגרפים'!$C18,tbDrills[שנה],'מידע לגרפים'!$B18,tbDrills[ציון מילולי],'מידע לגרפים'!G$17)</f>
        <v>0</v>
      </c>
      <c r="H18" s="96">
        <f ca="1">COUNTIFS(tbDrills[חודש],'מידע לגרפים'!$C18,tbDrills[שנה],'מידע לגרפים'!$B18,tbDrills[ציון מילולי],'מידע לגרפים'!H$17)</f>
        <v>0</v>
      </c>
      <c r="J18" s="95" t="s">
        <v>56</v>
      </c>
      <c r="K18" s="96">
        <f ca="1">COUNTIFS(tbDrills[האם בשנה האחרונה],TRUE,tbDrills[ציון מילולי],'מידע לגרפים'!$J18)</f>
        <v>1</v>
      </c>
      <c r="N18" s="95" t="s">
        <v>99</v>
      </c>
      <c r="O18" s="96">
        <f>COUNTIFS(tbEmploDetails[האם פעיל],"פעיל",tbEmploDetails[תפקיד],'מידע לגרפים'!$N18)</f>
        <v>1</v>
      </c>
      <c r="X18" s="95">
        <v>0</v>
      </c>
      <c r="Y18">
        <f ca="1">YEAR(TODAY() - DATE(0, X18+1, 0))</f>
        <v>2024</v>
      </c>
      <c r="Z18">
        <f t="shared" ref="Z18:Z29" ca="1" si="8">MOD(MONTH(TODAY()) - $A18 - 1, 12) + 1</f>
        <v>9</v>
      </c>
      <c r="AA18" s="120">
        <f ca="1">DATE(Y18,Z18,1)</f>
        <v>45536</v>
      </c>
      <c r="AB18">
        <f ca="1">COUNTIFS(tbDrills[חודש],$Z18,tbDrills[שנה],$Y18,tbDrills[מאבטח],$Y$16)</f>
        <v>0</v>
      </c>
      <c r="AC18" t="e">
        <f t="shared" ref="AC18:AC29" ca="1" si="9">IF(AD18="",NA(),AD18)</f>
        <v>#N/A</v>
      </c>
      <c r="AD18" s="96" t="str">
        <f ca="1">IFERROR(AVERAGEIFS(tbDrills[ציון],tbDrills[חודש],$Z18,tbDrills[שנה],$Y18,tbDrills[מאבטח],$Y$16),"")</f>
        <v/>
      </c>
      <c r="AF18" s="95" t="s">
        <v>56</v>
      </c>
      <c r="AG18" s="96">
        <f ca="1">COUNTIFS(tbDrills[האם בשנה האחרונה],TRUE,tbDrills[ציון מילולי],$AF18,tbDrills[מאבטח],$AG$16)</f>
        <v>0</v>
      </c>
    </row>
    <row r="19" spans="1:33">
      <c r="A19" s="95">
        <v>1</v>
      </c>
      <c r="B19">
        <f t="shared" ref="B19:B29" ca="1" si="10">YEAR(TODAY() - DATE(0, A19+1, 0))</f>
        <v>2024</v>
      </c>
      <c r="C19">
        <f t="shared" ca="1" si="7"/>
        <v>8</v>
      </c>
      <c r="D19" s="120">
        <f t="shared" ref="D19:D29" ca="1" si="11">DATE(B19,C19,1)</f>
        <v>45505</v>
      </c>
      <c r="E19">
        <f ca="1">COUNTIFS(tbDrills[חודש],'מידע לגרפים'!$C19,tbDrills[שנה],'מידע לגרפים'!$B19,tbDrills[ציון מילולי],'מידע לגרפים'!E$17)</f>
        <v>0</v>
      </c>
      <c r="F19">
        <f ca="1">COUNTIFS(tbDrills[חודש],'מידע לגרפים'!$C19,tbDrills[שנה],'מידע לגרפים'!$B19,tbDrills[ציון מילולי],'מידע לגרפים'!F$17)</f>
        <v>0</v>
      </c>
      <c r="G19">
        <f ca="1">COUNTIFS(tbDrills[חודש],'מידע לגרפים'!$C19,tbDrills[שנה],'מידע לגרפים'!$B19,tbDrills[ציון מילולי],'מידע לגרפים'!G$17)</f>
        <v>0</v>
      </c>
      <c r="H19" s="96">
        <f ca="1">COUNTIFS(tbDrills[חודש],'מידע לגרפים'!$C19,tbDrills[שנה],'מידע לגרפים'!$B19,tbDrills[ציון מילולי],'מידע לגרפים'!H$17)</f>
        <v>0</v>
      </c>
      <c r="J19" s="95" t="s">
        <v>54</v>
      </c>
      <c r="K19" s="96">
        <f ca="1">COUNTIFS(tbDrills[האם בשנה האחרונה],TRUE,tbDrills[ציון מילולי],'מידע לגרפים'!$J19)</f>
        <v>1</v>
      </c>
      <c r="N19" s="95" t="s">
        <v>51</v>
      </c>
      <c r="O19" s="96">
        <f>COUNTIFS(tbEmploDetails[האם פעיל],"פעיל",tbEmploDetails[תפקיד],'מידע לגרפים'!$N19)</f>
        <v>0</v>
      </c>
      <c r="X19" s="95">
        <v>1</v>
      </c>
      <c r="Y19">
        <f t="shared" ref="Y19:Y29" ca="1" si="12">YEAR(TODAY() - DATE(0, X19+1, 0))</f>
        <v>2024</v>
      </c>
      <c r="Z19">
        <f t="shared" ca="1" si="8"/>
        <v>8</v>
      </c>
      <c r="AA19" s="120">
        <f t="shared" ref="AA19:AA29" ca="1" si="13">DATE(Y19,Z19,1)</f>
        <v>45505</v>
      </c>
      <c r="AB19">
        <f ca="1">COUNTIFS(tbDrills[חודש],$Z19,tbDrills[שנה],$Y19,tbDrills[מאבטח],$Y$16)</f>
        <v>0</v>
      </c>
      <c r="AC19" t="e">
        <f t="shared" ca="1" si="9"/>
        <v>#N/A</v>
      </c>
      <c r="AD19" s="96" t="str">
        <f ca="1">IFERROR(AVERAGEIFS(tbDrills[ציון],tbDrills[חודש],$Z19,tbDrills[שנה],$Y19,tbDrills[מאבטח],$Y$16),"")</f>
        <v/>
      </c>
      <c r="AF19" s="95" t="s">
        <v>54</v>
      </c>
      <c r="AG19" s="96">
        <f ca="1">COUNTIFS(tbDrills[האם בשנה האחרונה],TRUE,tbDrills[ציון מילולי],$AF19,tbDrills[מאבטח],$AG$16)</f>
        <v>0</v>
      </c>
    </row>
    <row r="20" spans="1:33" ht="14.4" thickBot="1">
      <c r="A20" s="95">
        <v>2</v>
      </c>
      <c r="B20">
        <f t="shared" ca="1" si="10"/>
        <v>2024</v>
      </c>
      <c r="C20">
        <f t="shared" ca="1" si="7"/>
        <v>7</v>
      </c>
      <c r="D20" s="120">
        <f t="shared" ca="1" si="11"/>
        <v>45474</v>
      </c>
      <c r="E20">
        <f ca="1">COUNTIFS(tbDrills[חודש],'מידע לגרפים'!$C20,tbDrills[שנה],'מידע לגרפים'!$B20,tbDrills[ציון מילולי],'מידע לגרפים'!E$17)</f>
        <v>0</v>
      </c>
      <c r="F20">
        <f ca="1">COUNTIFS(tbDrills[חודש],'מידע לגרפים'!$C20,tbDrills[שנה],'מידע לגרפים'!$B20,tbDrills[ציון מילולי],'מידע לגרפים'!F$17)</f>
        <v>0</v>
      </c>
      <c r="G20">
        <f ca="1">COUNTIFS(tbDrills[חודש],'מידע לגרפים'!$C20,tbDrills[שנה],'מידע לגרפים'!$B20,tbDrills[ציון מילולי],'מידע לגרפים'!G$17)</f>
        <v>0</v>
      </c>
      <c r="H20" s="96">
        <f ca="1">COUNTIFS(tbDrills[חודש],'מידע לגרפים'!$C20,tbDrills[שנה],'מידע לגרפים'!$B20,tbDrills[ציון מילולי],'מידע לגרפים'!H$17)</f>
        <v>0</v>
      </c>
      <c r="J20" s="95" t="s">
        <v>55</v>
      </c>
      <c r="K20" s="96">
        <f ca="1">COUNTIFS(tbDrills[האם בשנה האחרונה],TRUE,tbDrills[ציון מילולי],'מידע לגרפים'!$J20)</f>
        <v>2</v>
      </c>
      <c r="N20" s="197" t="s">
        <v>338</v>
      </c>
      <c r="O20" s="200">
        <f>COUNTIFS(tbEmploDetails[האם פעיל],"פעיל",tbEmploDetails[תפקיד],'מידע לגרפים'!$N20)</f>
        <v>1</v>
      </c>
      <c r="X20" s="95">
        <v>2</v>
      </c>
      <c r="Y20">
        <f t="shared" ca="1" si="12"/>
        <v>2024</v>
      </c>
      <c r="Z20">
        <f t="shared" ca="1" si="8"/>
        <v>7</v>
      </c>
      <c r="AA20" s="120">
        <f t="shared" ca="1" si="13"/>
        <v>45474</v>
      </c>
      <c r="AB20">
        <f ca="1">COUNTIFS(tbDrills[חודש],$Z20,tbDrills[שנה],$Y20,tbDrills[מאבטח],$Y$16)</f>
        <v>0</v>
      </c>
      <c r="AC20" t="e">
        <f t="shared" ca="1" si="9"/>
        <v>#N/A</v>
      </c>
      <c r="AD20" s="96" t="str">
        <f ca="1">IFERROR(AVERAGEIFS(tbDrills[ציון],tbDrills[חודש],$Z20,tbDrills[שנה],$Y20,tbDrills[מאבטח],$Y$16),"")</f>
        <v/>
      </c>
      <c r="AF20" s="95" t="s">
        <v>55</v>
      </c>
      <c r="AG20" s="96">
        <f ca="1">COUNTIFS(tbDrills[האם בשנה האחרונה],TRUE,tbDrills[ציון מילולי],$AF20,tbDrills[מאבטח],$AG$16)</f>
        <v>0</v>
      </c>
    </row>
    <row r="21" spans="1:33" ht="14.4" thickBot="1">
      <c r="A21" s="95">
        <v>3</v>
      </c>
      <c r="B21">
        <f t="shared" ca="1" si="10"/>
        <v>2024</v>
      </c>
      <c r="C21">
        <f t="shared" ca="1" si="7"/>
        <v>6</v>
      </c>
      <c r="D21" s="120">
        <f t="shared" ca="1" si="11"/>
        <v>45444</v>
      </c>
      <c r="E21">
        <f ca="1">COUNTIFS(tbDrills[חודש],'מידע לגרפים'!$C21,tbDrills[שנה],'מידע לגרפים'!$B21,tbDrills[ציון מילולי],'מידע לגרפים'!E$17)</f>
        <v>0</v>
      </c>
      <c r="F21">
        <f ca="1">COUNTIFS(tbDrills[חודש],'מידע לגרפים'!$C21,tbDrills[שנה],'מידע לגרפים'!$B21,tbDrills[ציון מילולי],'מידע לגרפים'!F$17)</f>
        <v>0</v>
      </c>
      <c r="G21">
        <f ca="1">COUNTIFS(tbDrills[חודש],'מידע לגרפים'!$C21,tbDrills[שנה],'מידע לגרפים'!$B21,tbDrills[ציון מילולי],'מידע לגרפים'!G$17)</f>
        <v>0</v>
      </c>
      <c r="H21" s="96">
        <f ca="1">COUNTIFS(tbDrills[חודש],'מידע לגרפים'!$C21,tbDrills[שנה],'מידע לגרפים'!$B21,tbDrills[ציון מילולי],'מידע לגרפים'!H$17)</f>
        <v>0</v>
      </c>
      <c r="J21" s="197" t="s">
        <v>57</v>
      </c>
      <c r="K21" s="200">
        <f ca="1">COUNTIFS(tbDrills[האם בשנה האחרונה],TRUE,tbDrills[ציון מילולי],'מידע לגרפים'!$J21)</f>
        <v>1</v>
      </c>
      <c r="X21" s="95">
        <v>3</v>
      </c>
      <c r="Y21">
        <f t="shared" ca="1" si="12"/>
        <v>2024</v>
      </c>
      <c r="Z21">
        <f t="shared" ca="1" si="8"/>
        <v>6</v>
      </c>
      <c r="AA21" s="120">
        <f t="shared" ca="1" si="13"/>
        <v>45444</v>
      </c>
      <c r="AB21">
        <f ca="1">COUNTIFS(tbDrills[חודש],$Z21,tbDrills[שנה],$Y21,tbDrills[מאבטח],$Y$16)</f>
        <v>0</v>
      </c>
      <c r="AC21" t="e">
        <f t="shared" ca="1" si="9"/>
        <v>#N/A</v>
      </c>
      <c r="AD21" s="96" t="str">
        <f ca="1">IFERROR(AVERAGEIFS(tbDrills[ציון],tbDrills[חודש],$Z21,tbDrills[שנה],$Y21,tbDrills[מאבטח],$Y$16),"")</f>
        <v/>
      </c>
      <c r="AF21" s="197" t="s">
        <v>57</v>
      </c>
      <c r="AG21" s="200">
        <f ca="1">COUNTIFS(tbDrills[האם בשנה האחרונה],TRUE,tbDrills[ציון מילולי],$AF21,tbDrills[מאבטח],$AG$16)</f>
        <v>1</v>
      </c>
    </row>
    <row r="22" spans="1:33">
      <c r="A22" s="95">
        <v>4</v>
      </c>
      <c r="B22">
        <f t="shared" ca="1" si="10"/>
        <v>2024</v>
      </c>
      <c r="C22">
        <f t="shared" ca="1" si="7"/>
        <v>5</v>
      </c>
      <c r="D22" s="120">
        <f t="shared" ca="1" si="11"/>
        <v>45413</v>
      </c>
      <c r="E22">
        <f ca="1">COUNTIFS(tbDrills[חודש],'מידע לגרפים'!$C22,tbDrills[שנה],'מידע לגרפים'!$B22,tbDrills[ציון מילולי],'מידע לגרפים'!E$17)</f>
        <v>0</v>
      </c>
      <c r="F22">
        <f ca="1">COUNTIFS(tbDrills[חודש],'מידע לגרפים'!$C22,tbDrills[שנה],'מידע לגרפים'!$B22,tbDrills[ציון מילולי],'מידע לגרפים'!F$17)</f>
        <v>0</v>
      </c>
      <c r="G22">
        <f ca="1">COUNTIFS(tbDrills[חודש],'מידע לגרפים'!$C22,tbDrills[שנה],'מידע לגרפים'!$B22,tbDrills[ציון מילולי],'מידע לגרפים'!G$17)</f>
        <v>0</v>
      </c>
      <c r="H22" s="96">
        <f ca="1">COUNTIFS(tbDrills[חודש],'מידע לגרפים'!$C22,tbDrills[שנה],'מידע לגרפים'!$B22,tbDrills[ציון מילולי],'מידע לגרפים'!H$17)</f>
        <v>0</v>
      </c>
      <c r="X22" s="95">
        <v>4</v>
      </c>
      <c r="Y22">
        <f t="shared" ca="1" si="12"/>
        <v>2024</v>
      </c>
      <c r="Z22">
        <f t="shared" ca="1" si="8"/>
        <v>5</v>
      </c>
      <c r="AA22" s="120">
        <f t="shared" ca="1" si="13"/>
        <v>45413</v>
      </c>
      <c r="AB22">
        <f ca="1">COUNTIFS(tbDrills[חודש],$Z22,tbDrills[שנה],$Y22,tbDrills[מאבטח],$Y$16)</f>
        <v>0</v>
      </c>
      <c r="AC22" t="e">
        <f t="shared" ca="1" si="9"/>
        <v>#N/A</v>
      </c>
      <c r="AD22" s="96" t="str">
        <f ca="1">IFERROR(AVERAGEIFS(tbDrills[ציון],tbDrills[חודש],$Z22,tbDrills[שנה],$Y22,tbDrills[מאבטח],$Y$16),"")</f>
        <v/>
      </c>
    </row>
    <row r="23" spans="1:33">
      <c r="A23" s="95">
        <v>5</v>
      </c>
      <c r="B23">
        <f t="shared" ca="1" si="10"/>
        <v>2024</v>
      </c>
      <c r="C23">
        <f t="shared" ca="1" si="7"/>
        <v>4</v>
      </c>
      <c r="D23" s="120">
        <f t="shared" ca="1" si="11"/>
        <v>45383</v>
      </c>
      <c r="E23">
        <f ca="1">COUNTIFS(tbDrills[חודש],'מידע לגרפים'!$C23,tbDrills[שנה],'מידע לגרפים'!$B23,tbDrills[ציון מילולי],'מידע לגרפים'!E$17)</f>
        <v>0</v>
      </c>
      <c r="F23">
        <f ca="1">COUNTIFS(tbDrills[חודש],'מידע לגרפים'!$C23,tbDrills[שנה],'מידע לגרפים'!$B23,tbDrills[ציון מילולי],'מידע לגרפים'!F$17)</f>
        <v>0</v>
      </c>
      <c r="G23">
        <f ca="1">COUNTIFS(tbDrills[חודש],'מידע לגרפים'!$C23,tbDrills[שנה],'מידע לגרפים'!$B23,tbDrills[ציון מילולי],'מידע לגרפים'!G$17)</f>
        <v>0</v>
      </c>
      <c r="H23" s="96">
        <f ca="1">COUNTIFS(tbDrills[חודש],'מידע לגרפים'!$C23,tbDrills[שנה],'מידע לגרפים'!$B23,tbDrills[ציון מילולי],'מידע לגרפים'!H$17)</f>
        <v>0</v>
      </c>
      <c r="X23" s="95">
        <v>5</v>
      </c>
      <c r="Y23">
        <f t="shared" ca="1" si="12"/>
        <v>2024</v>
      </c>
      <c r="Z23">
        <f t="shared" ca="1" si="8"/>
        <v>4</v>
      </c>
      <c r="AA23" s="120">
        <f t="shared" ca="1" si="13"/>
        <v>45383</v>
      </c>
      <c r="AB23">
        <f ca="1">COUNTIFS(tbDrills[חודש],$Z23,tbDrills[שנה],$Y23,tbDrills[מאבטח],$Y$16)</f>
        <v>0</v>
      </c>
      <c r="AC23" t="e">
        <f t="shared" ca="1" si="9"/>
        <v>#N/A</v>
      </c>
      <c r="AD23" s="96" t="str">
        <f ca="1">IFERROR(AVERAGEIFS(tbDrills[ציון],tbDrills[חודש],$Z23,tbDrills[שנה],$Y23,tbDrills[מאבטח],$Y$16),"")</f>
        <v/>
      </c>
    </row>
    <row r="24" spans="1:33">
      <c r="A24" s="95">
        <v>6</v>
      </c>
      <c r="B24">
        <f t="shared" ca="1" si="10"/>
        <v>2024</v>
      </c>
      <c r="C24">
        <f t="shared" ca="1" si="7"/>
        <v>3</v>
      </c>
      <c r="D24" s="120">
        <f t="shared" ca="1" si="11"/>
        <v>45352</v>
      </c>
      <c r="E24">
        <f ca="1">COUNTIFS(tbDrills[חודש],'מידע לגרפים'!$C24,tbDrills[שנה],'מידע לגרפים'!$B24,tbDrills[ציון מילולי],'מידע לגרפים'!E$17)</f>
        <v>0</v>
      </c>
      <c r="F24">
        <f ca="1">COUNTIFS(tbDrills[חודש],'מידע לגרפים'!$C24,tbDrills[שנה],'מידע לגרפים'!$B24,tbDrills[ציון מילולי],'מידע לגרפים'!F$17)</f>
        <v>0</v>
      </c>
      <c r="G24">
        <f ca="1">COUNTIFS(tbDrills[חודש],'מידע לגרפים'!$C24,tbDrills[שנה],'מידע לגרפים'!$B24,tbDrills[ציון מילולי],'מידע לגרפים'!G$17)</f>
        <v>0</v>
      </c>
      <c r="H24" s="96">
        <f ca="1">COUNTIFS(tbDrills[חודש],'מידע לגרפים'!$C24,tbDrills[שנה],'מידע לגרפים'!$B24,tbDrills[ציון מילולי],'מידע לגרפים'!H$17)</f>
        <v>0</v>
      </c>
      <c r="X24" s="95">
        <v>6</v>
      </c>
      <c r="Y24">
        <f t="shared" ca="1" si="12"/>
        <v>2024</v>
      </c>
      <c r="Z24">
        <f t="shared" ca="1" si="8"/>
        <v>3</v>
      </c>
      <c r="AA24" s="120">
        <f t="shared" ca="1" si="13"/>
        <v>45352</v>
      </c>
      <c r="AB24">
        <f ca="1">COUNTIFS(tbDrills[חודש],$Z24,tbDrills[שנה],$Y24,tbDrills[מאבטח],$Y$16)</f>
        <v>0</v>
      </c>
      <c r="AC24" t="e">
        <f t="shared" ca="1" si="9"/>
        <v>#N/A</v>
      </c>
      <c r="AD24" s="96" t="str">
        <f ca="1">IFERROR(AVERAGEIFS(tbDrills[ציון],tbDrills[חודש],$Z24,tbDrills[שנה],$Y24,tbDrills[מאבטח],$Y$16),"")</f>
        <v/>
      </c>
    </row>
    <row r="25" spans="1:33">
      <c r="A25" s="95">
        <v>7</v>
      </c>
      <c r="B25">
        <f t="shared" ca="1" si="10"/>
        <v>2024</v>
      </c>
      <c r="C25">
        <f t="shared" ca="1" si="7"/>
        <v>2</v>
      </c>
      <c r="D25" s="120">
        <f t="shared" ca="1" si="11"/>
        <v>45323</v>
      </c>
      <c r="E25">
        <f ca="1">COUNTIFS(tbDrills[חודש],'מידע לגרפים'!$C25,tbDrills[שנה],'מידע לגרפים'!$B25,tbDrills[ציון מילולי],'מידע לגרפים'!E$17)</f>
        <v>0</v>
      </c>
      <c r="F25">
        <f ca="1">COUNTIFS(tbDrills[חודש],'מידע לגרפים'!$C25,tbDrills[שנה],'מידע לגרפים'!$B25,tbDrills[ציון מילולי],'מידע לגרפים'!F$17)</f>
        <v>0</v>
      </c>
      <c r="G25">
        <f ca="1">COUNTIFS(tbDrills[חודש],'מידע לגרפים'!$C25,tbDrills[שנה],'מידע לגרפים'!$B25,tbDrills[ציון מילולי],'מידע לגרפים'!G$17)</f>
        <v>0</v>
      </c>
      <c r="H25" s="96">
        <f ca="1">COUNTIFS(tbDrills[חודש],'מידע לגרפים'!$C25,tbDrills[שנה],'מידע לגרפים'!$B25,tbDrills[ציון מילולי],'מידע לגרפים'!H$17)</f>
        <v>0</v>
      </c>
      <c r="X25" s="95">
        <v>7</v>
      </c>
      <c r="Y25">
        <f t="shared" ca="1" si="12"/>
        <v>2024</v>
      </c>
      <c r="Z25">
        <f t="shared" ca="1" si="8"/>
        <v>2</v>
      </c>
      <c r="AA25" s="120">
        <f t="shared" ca="1" si="13"/>
        <v>45323</v>
      </c>
      <c r="AB25">
        <f ca="1">COUNTIFS(tbDrills[חודש],$Z25,tbDrills[שנה],$Y25,tbDrills[מאבטח],$Y$16)</f>
        <v>0</v>
      </c>
      <c r="AC25" t="e">
        <f t="shared" ca="1" si="9"/>
        <v>#N/A</v>
      </c>
      <c r="AD25" s="96" t="str">
        <f ca="1">IFERROR(AVERAGEIFS(tbDrills[ציון],tbDrills[חודש],$Z25,tbDrills[שנה],$Y25,tbDrills[מאבטח],$Y$16),"")</f>
        <v/>
      </c>
    </row>
    <row r="26" spans="1:33">
      <c r="A26" s="95">
        <v>8</v>
      </c>
      <c r="B26">
        <f t="shared" ca="1" si="10"/>
        <v>2024</v>
      </c>
      <c r="C26">
        <f t="shared" ca="1" si="7"/>
        <v>1</v>
      </c>
      <c r="D26" s="120">
        <f t="shared" ca="1" si="11"/>
        <v>45292</v>
      </c>
      <c r="E26">
        <f ca="1">COUNTIFS(tbDrills[חודש],'מידע לגרפים'!$C26,tbDrills[שנה],'מידע לגרפים'!$B26,tbDrills[ציון מילולי],'מידע לגרפים'!E$17)</f>
        <v>0</v>
      </c>
      <c r="F26">
        <f ca="1">COUNTIFS(tbDrills[חודש],'מידע לגרפים'!$C26,tbDrills[שנה],'מידע לגרפים'!$B26,tbDrills[ציון מילולי],'מידע לגרפים'!F$17)</f>
        <v>0</v>
      </c>
      <c r="G26">
        <f ca="1">COUNTIFS(tbDrills[חודש],'מידע לגרפים'!$C26,tbDrills[שנה],'מידע לגרפים'!$B26,tbDrills[ציון מילולי],'מידע לגרפים'!G$17)</f>
        <v>0</v>
      </c>
      <c r="H26" s="96">
        <f ca="1">COUNTIFS(tbDrills[חודש],'מידע לגרפים'!$C26,tbDrills[שנה],'מידע לגרפים'!$B26,tbDrills[ציון מילולי],'מידע לגרפים'!H$17)</f>
        <v>0</v>
      </c>
      <c r="X26" s="95">
        <v>8</v>
      </c>
      <c r="Y26">
        <f t="shared" ca="1" si="12"/>
        <v>2024</v>
      </c>
      <c r="Z26">
        <f t="shared" ca="1" si="8"/>
        <v>1</v>
      </c>
      <c r="AA26" s="120">
        <f t="shared" ca="1" si="13"/>
        <v>45292</v>
      </c>
      <c r="AB26">
        <f ca="1">COUNTIFS(tbDrills[חודש],$Z26,tbDrills[שנה],$Y26,tbDrills[מאבטח],$Y$16)</f>
        <v>0</v>
      </c>
      <c r="AC26" t="e">
        <f t="shared" ca="1" si="9"/>
        <v>#N/A</v>
      </c>
      <c r="AD26" s="96" t="str">
        <f ca="1">IFERROR(AVERAGEIFS(tbDrills[ציון],tbDrills[חודש],$Z26,tbDrills[שנה],$Y26,tbDrills[מאבטח],$Y$16),"")</f>
        <v/>
      </c>
    </row>
    <row r="27" spans="1:33">
      <c r="A27" s="95">
        <v>9</v>
      </c>
      <c r="B27">
        <f t="shared" ca="1" si="10"/>
        <v>2023</v>
      </c>
      <c r="C27">
        <f t="shared" ca="1" si="7"/>
        <v>12</v>
      </c>
      <c r="D27" s="120">
        <f t="shared" ca="1" si="11"/>
        <v>45261</v>
      </c>
      <c r="E27">
        <f ca="1">COUNTIFS(tbDrills[חודש],'מידע לגרפים'!$C27,tbDrills[שנה],'מידע לגרפים'!$B27,tbDrills[ציון מילולי],'מידע לגרפים'!E$17)</f>
        <v>0</v>
      </c>
      <c r="F27">
        <f ca="1">COUNTIFS(tbDrills[חודש],'מידע לגרפים'!$C27,tbDrills[שנה],'מידע לגרפים'!$B27,tbDrills[ציון מילולי],'מידע לגרפים'!F$17)</f>
        <v>0</v>
      </c>
      <c r="G27">
        <f ca="1">COUNTIFS(tbDrills[חודש],'מידע לגרפים'!$C27,tbDrills[שנה],'מידע לגרפים'!$B27,tbDrills[ציון מילולי],'מידע לגרפים'!G$17)</f>
        <v>0</v>
      </c>
      <c r="H27" s="96">
        <f ca="1">COUNTIFS(tbDrills[חודש],'מידע לגרפים'!$C27,tbDrills[שנה],'מידע לגרפים'!$B27,tbDrills[ציון מילולי],'מידע לגרפים'!H$17)</f>
        <v>0</v>
      </c>
      <c r="X27" s="95">
        <v>9</v>
      </c>
      <c r="Y27">
        <f t="shared" ca="1" si="12"/>
        <v>2023</v>
      </c>
      <c r="Z27">
        <f t="shared" ca="1" si="8"/>
        <v>12</v>
      </c>
      <c r="AA27" s="120">
        <f t="shared" ca="1" si="13"/>
        <v>45261</v>
      </c>
      <c r="AB27">
        <f ca="1">COUNTIFS(tbDrills[חודש],$Z27,tbDrills[שנה],$Y27,tbDrills[מאבטח],$Y$16)</f>
        <v>0</v>
      </c>
      <c r="AC27" t="e">
        <f t="shared" ca="1" si="9"/>
        <v>#N/A</v>
      </c>
      <c r="AD27" s="96" t="str">
        <f ca="1">IFERROR(AVERAGEIFS(tbDrills[ציון],tbDrills[חודש],$Z27,tbDrills[שנה],$Y27,tbDrills[מאבטח],$Y$16),"")</f>
        <v/>
      </c>
    </row>
    <row r="28" spans="1:33">
      <c r="A28" s="95">
        <v>10</v>
      </c>
      <c r="B28">
        <f t="shared" ca="1" si="10"/>
        <v>2023</v>
      </c>
      <c r="C28">
        <f t="shared" ca="1" si="7"/>
        <v>11</v>
      </c>
      <c r="D28" s="120">
        <f t="shared" ca="1" si="11"/>
        <v>45231</v>
      </c>
      <c r="E28">
        <f ca="1">COUNTIFS(tbDrills[חודש],'מידע לגרפים'!$C28,tbDrills[שנה],'מידע לגרפים'!$B28,tbDrills[ציון מילולי],'מידע לגרפים'!E$17)</f>
        <v>0</v>
      </c>
      <c r="F28">
        <f ca="1">COUNTIFS(tbDrills[חודש],'מידע לגרפים'!$C28,tbDrills[שנה],'מידע לגרפים'!$B28,tbDrills[ציון מילולי],'מידע לגרפים'!F$17)</f>
        <v>0</v>
      </c>
      <c r="G28">
        <f ca="1">COUNTIFS(tbDrills[חודש],'מידע לגרפים'!$C28,tbDrills[שנה],'מידע לגרפים'!$B28,tbDrills[ציון מילולי],'מידע לגרפים'!G$17)</f>
        <v>0</v>
      </c>
      <c r="H28" s="96">
        <f ca="1">COUNTIFS(tbDrills[חודש],'מידע לגרפים'!$C28,tbDrills[שנה],'מידע לגרפים'!$B28,tbDrills[ציון מילולי],'מידע לגרפים'!H$17)</f>
        <v>0</v>
      </c>
      <c r="X28" s="95">
        <v>10</v>
      </c>
      <c r="Y28">
        <f t="shared" ca="1" si="12"/>
        <v>2023</v>
      </c>
      <c r="Z28">
        <f t="shared" ca="1" si="8"/>
        <v>11</v>
      </c>
      <c r="AA28" s="120">
        <f t="shared" ca="1" si="13"/>
        <v>45231</v>
      </c>
      <c r="AB28">
        <f ca="1">COUNTIFS(tbDrills[חודש],$Z28,tbDrills[שנה],$Y28,tbDrills[מאבטח],$Y$16)</f>
        <v>0</v>
      </c>
      <c r="AC28" t="e">
        <f t="shared" ca="1" si="9"/>
        <v>#N/A</v>
      </c>
      <c r="AD28" s="96" t="str">
        <f ca="1">IFERROR(AVERAGEIFS(tbDrills[ציון],tbDrills[חודש],$Z28,tbDrills[שנה],$Y28,tbDrills[מאבטח],$Y$16),"")</f>
        <v/>
      </c>
    </row>
    <row r="29" spans="1:33" ht="14.4" thickBot="1">
      <c r="A29" s="197">
        <v>11</v>
      </c>
      <c r="B29" s="198">
        <f t="shared" ca="1" si="10"/>
        <v>2023</v>
      </c>
      <c r="C29" s="198">
        <f t="shared" ca="1" si="7"/>
        <v>10</v>
      </c>
      <c r="D29" s="199">
        <f t="shared" ca="1" si="11"/>
        <v>45200</v>
      </c>
      <c r="E29" s="198">
        <f ca="1">COUNTIFS(tbDrills[חודש],'מידע לגרפים'!$C29,tbDrills[שנה],'מידע לגרפים'!$B29,tbDrills[ציון מילולי],'מידע לגרפים'!E$17)</f>
        <v>0</v>
      </c>
      <c r="F29" s="198">
        <f ca="1">COUNTIFS(tbDrills[חודש],'מידע לגרפים'!$C29,tbDrills[שנה],'מידע לגרפים'!$B29,tbDrills[ציון מילולי],'מידע לגרפים'!F$17)</f>
        <v>0</v>
      </c>
      <c r="G29" s="198">
        <f ca="1">COUNTIFS(tbDrills[חודש],'מידע לגרפים'!$C29,tbDrills[שנה],'מידע לגרפים'!$B29,tbDrills[ציון מילולי],'מידע לגרפים'!G$17)</f>
        <v>0</v>
      </c>
      <c r="H29" s="200">
        <f ca="1">COUNTIFS(tbDrills[חודש],'מידע לגרפים'!$C29,tbDrills[שנה],'מידע לגרפים'!$B29,tbDrills[ציון מילולי],'מידע לגרפים'!H$17)</f>
        <v>0</v>
      </c>
      <c r="X29" s="197">
        <v>11</v>
      </c>
      <c r="Y29" s="198">
        <f t="shared" ca="1" si="12"/>
        <v>2023</v>
      </c>
      <c r="Z29" s="198">
        <f t="shared" ca="1" si="8"/>
        <v>10</v>
      </c>
      <c r="AA29" s="199">
        <f t="shared" ca="1" si="13"/>
        <v>45200</v>
      </c>
      <c r="AB29" s="198">
        <f ca="1">COUNTIFS(tbDrills[חודש],$Z29,tbDrills[שנה],$Y29,tbDrills[מאבטח],$Y$16)</f>
        <v>0</v>
      </c>
      <c r="AC29" s="198" t="e">
        <f t="shared" ca="1" si="9"/>
        <v>#N/A</v>
      </c>
      <c r="AD29" s="200" t="str">
        <f ca="1">IFERROR(AVERAGEIFS(tbDrills[ציון],tbDrills[חודש],$Z29,tbDrills[שנה],$Y29,tbDrills[מאבטח],$Y$16),"")</f>
        <v/>
      </c>
    </row>
    <row r="33" spans="1:29" ht="14.4" thickBot="1">
      <c r="A33" t="s">
        <v>315</v>
      </c>
      <c r="B33" t="s">
        <v>318</v>
      </c>
      <c r="X33" t="s">
        <v>315</v>
      </c>
      <c r="Y33" t="str">
        <f>NameSearchCell</f>
        <v>בן דוד מאיה</v>
      </c>
    </row>
    <row r="34" spans="1:29">
      <c r="A34" s="194" t="s">
        <v>312</v>
      </c>
      <c r="B34" s="195" t="s">
        <v>308</v>
      </c>
      <c r="C34" s="195" t="s">
        <v>313</v>
      </c>
      <c r="D34" s="195" t="s">
        <v>314</v>
      </c>
      <c r="E34" s="195" t="s">
        <v>315</v>
      </c>
      <c r="F34" s="196" t="s">
        <v>316</v>
      </c>
      <c r="X34" s="194" t="s">
        <v>306</v>
      </c>
      <c r="Y34" s="195" t="s">
        <v>308</v>
      </c>
      <c r="Z34" s="195" t="s">
        <v>307</v>
      </c>
      <c r="AA34" s="195" t="s">
        <v>309</v>
      </c>
      <c r="AB34" s="195" t="s">
        <v>315</v>
      </c>
      <c r="AC34" s="196" t="s">
        <v>316</v>
      </c>
    </row>
    <row r="35" spans="1:29">
      <c r="A35" s="95">
        <v>0</v>
      </c>
      <c r="B35">
        <f ca="1">YEAR(TODAY() - A35*7)</f>
        <v>2024</v>
      </c>
      <c r="C35">
        <f ca="1">WEEKNUM(TODAY() - A35*7)</f>
        <v>39</v>
      </c>
      <c r="D35" t="str">
        <f ca="1">C35&amp;", "&amp;B35</f>
        <v>39, 2024</v>
      </c>
      <c r="E35">
        <f ca="1">COUNTIFS(tbLate[שנה],'מידע לגרפים'!B35,tbLate[מס'' שבוע],'מידע לגרפים'!C35,tbLate[מס''דק''איחור],"&gt;0")</f>
        <v>0</v>
      </c>
      <c r="F35" s="96">
        <f ca="1">COUNTIFS(tbLate[שנה],'מידע לגרפים'!B35,tbLate[מס'' שבוע],'מידע לגרפים'!C35,tbLate[האם חור],"&gt;0")</f>
        <v>0</v>
      </c>
      <c r="X35" s="95">
        <v>0</v>
      </c>
      <c r="Y35">
        <f ca="1">YEAR(TODAY() - DATE(0, X35+1, 0))</f>
        <v>2024</v>
      </c>
      <c r="Z35">
        <f t="shared" ref="Z35:Z46" ca="1" si="14">MOD(MONTH(TODAY()) - $A35 - 1, 12) + 1</f>
        <v>9</v>
      </c>
      <c r="AA35" s="120">
        <f ca="1">DATE(Y35,Z35,1)</f>
        <v>45536</v>
      </c>
      <c r="AB35">
        <f ca="1">COUNTIFS(tbLate[שנה],Y35,tbLate[חודש],Z35,tbLate[מס''דק''איחור],"&gt;0",tbLate[שם המאחר],$Y$33)</f>
        <v>0</v>
      </c>
      <c r="AC35" s="96">
        <f ca="1">COUNTIFS(tbLate[שנה],Y35,tbLate[חודש],Z35,tbLate[האם חור],"&gt;0",tbLate[שם המאחר],$Y$33)</f>
        <v>0</v>
      </c>
    </row>
    <row r="36" spans="1:29">
      <c r="A36" s="95">
        <v>1</v>
      </c>
      <c r="B36">
        <f t="shared" ref="B36:B87" ca="1" si="15">YEAR(TODAY() - A36*7)</f>
        <v>2024</v>
      </c>
      <c r="C36">
        <f t="shared" ref="C36:C86" ca="1" si="16">WEEKNUM(TODAY() - A36*7)</f>
        <v>38</v>
      </c>
      <c r="D36" t="str">
        <f t="shared" ref="D36:D87" ca="1" si="17">C36&amp;", "&amp;B36</f>
        <v>38, 2024</v>
      </c>
      <c r="E36">
        <f ca="1">COUNTIFS(tbLate[שנה],'מידע לגרפים'!B36,tbLate[מס'' שבוע],'מידע לגרפים'!C36,tbLate[מס''דק''איחור],"&gt;0")</f>
        <v>0</v>
      </c>
      <c r="F36" s="96">
        <f ca="1">COUNTIFS(tbLate[שנה],'מידע לגרפים'!B36,tbLate[מס'' שבוע],'מידע לגרפים'!C36,tbLate[האם חור],"&gt;0")</f>
        <v>0</v>
      </c>
      <c r="X36" s="95">
        <v>1</v>
      </c>
      <c r="Y36">
        <f t="shared" ref="Y36:Y46" ca="1" si="18">YEAR(TODAY() - DATE(0, X36+1, 0))</f>
        <v>2024</v>
      </c>
      <c r="Z36">
        <f t="shared" ca="1" si="14"/>
        <v>8</v>
      </c>
      <c r="AA36" s="120">
        <f t="shared" ref="AA36:AA46" ca="1" si="19">DATE(Y36,Z36,1)</f>
        <v>45505</v>
      </c>
      <c r="AB36">
        <f ca="1">COUNTIFS(tbLate[שנה],Y36,tbLate[חודש],Z36,tbLate[מס''דק''איחור],"&gt;0",tbLate[שם המאחר],$Y$33)</f>
        <v>0</v>
      </c>
      <c r="AC36" s="96">
        <f ca="1">COUNTIFS(tbLate[שנה],Y36,tbLate[חודש],Z36,tbLate[האם חור],"&gt;0",tbLate[שם המאחר],$Y$33)</f>
        <v>0</v>
      </c>
    </row>
    <row r="37" spans="1:29">
      <c r="A37" s="95">
        <v>2</v>
      </c>
      <c r="B37">
        <f t="shared" ca="1" si="15"/>
        <v>2024</v>
      </c>
      <c r="C37">
        <f t="shared" ca="1" si="16"/>
        <v>37</v>
      </c>
      <c r="D37" t="str">
        <f t="shared" ca="1" si="17"/>
        <v>37, 2024</v>
      </c>
      <c r="E37">
        <f ca="1">COUNTIFS(tbLate[שנה],'מידע לגרפים'!B37,tbLate[מס'' שבוע],'מידע לגרפים'!C37,tbLate[מס''דק''איחור],"&gt;0")</f>
        <v>0</v>
      </c>
      <c r="F37" s="96">
        <f ca="1">COUNTIFS(tbLate[שנה],'מידע לגרפים'!B37,tbLate[מס'' שבוע],'מידע לגרפים'!C37,tbLate[האם חור],"&gt;0")</f>
        <v>0</v>
      </c>
      <c r="X37" s="95">
        <v>2</v>
      </c>
      <c r="Y37">
        <f t="shared" ca="1" si="18"/>
        <v>2024</v>
      </c>
      <c r="Z37">
        <f t="shared" ca="1" si="14"/>
        <v>7</v>
      </c>
      <c r="AA37" s="120">
        <f t="shared" ca="1" si="19"/>
        <v>45474</v>
      </c>
      <c r="AB37">
        <f ca="1">COUNTIFS(tbLate[שנה],Y37,tbLate[חודש],Z37,tbLate[מס''דק''איחור],"&gt;0",tbLate[שם המאחר],$Y$33)</f>
        <v>0</v>
      </c>
      <c r="AC37" s="96">
        <f ca="1">COUNTIFS(tbLate[שנה],Y37,tbLate[חודש],Z37,tbLate[האם חור],"&gt;0",tbLate[שם המאחר],$Y$33)</f>
        <v>0</v>
      </c>
    </row>
    <row r="38" spans="1:29">
      <c r="A38" s="95">
        <v>3</v>
      </c>
      <c r="B38">
        <f t="shared" ca="1" si="15"/>
        <v>2024</v>
      </c>
      <c r="C38">
        <f t="shared" ca="1" si="16"/>
        <v>36</v>
      </c>
      <c r="D38" t="str">
        <f t="shared" ca="1" si="17"/>
        <v>36, 2024</v>
      </c>
      <c r="E38">
        <f ca="1">COUNTIFS(tbLate[שנה],'מידע לגרפים'!B38,tbLate[מס'' שבוע],'מידע לגרפים'!C38,tbLate[מס''דק''איחור],"&gt;0")</f>
        <v>0</v>
      </c>
      <c r="F38" s="96">
        <f ca="1">COUNTIFS(tbLate[שנה],'מידע לגרפים'!B38,tbLate[מס'' שבוע],'מידע לגרפים'!C38,tbLate[האם חור],"&gt;0")</f>
        <v>0</v>
      </c>
      <c r="X38" s="95">
        <v>3</v>
      </c>
      <c r="Y38">
        <f t="shared" ca="1" si="18"/>
        <v>2024</v>
      </c>
      <c r="Z38">
        <f t="shared" ca="1" si="14"/>
        <v>6</v>
      </c>
      <c r="AA38" s="120">
        <f t="shared" ca="1" si="19"/>
        <v>45444</v>
      </c>
      <c r="AB38">
        <f ca="1">COUNTIFS(tbLate[שנה],Y38,tbLate[חודש],Z38,tbLate[מס''דק''איחור],"&gt;0",tbLate[שם המאחר],$Y$33)</f>
        <v>0</v>
      </c>
      <c r="AC38" s="96">
        <f ca="1">COUNTIFS(tbLate[שנה],Y38,tbLate[חודש],Z38,tbLate[האם חור],"&gt;0",tbLate[שם המאחר],$Y$33)</f>
        <v>0</v>
      </c>
    </row>
    <row r="39" spans="1:29">
      <c r="A39" s="95">
        <v>4</v>
      </c>
      <c r="B39">
        <f t="shared" ca="1" si="15"/>
        <v>2024</v>
      </c>
      <c r="C39">
        <f t="shared" ca="1" si="16"/>
        <v>35</v>
      </c>
      <c r="D39" t="str">
        <f t="shared" ca="1" si="17"/>
        <v>35, 2024</v>
      </c>
      <c r="E39">
        <f ca="1">COUNTIFS(tbLate[שנה],'מידע לגרפים'!B39,tbLate[מס'' שבוע],'מידע לגרפים'!C39,tbLate[מס''דק''איחור],"&gt;0")</f>
        <v>0</v>
      </c>
      <c r="F39" s="96">
        <f ca="1">COUNTIFS(tbLate[שנה],'מידע לגרפים'!B39,tbLate[מס'' שבוע],'מידע לגרפים'!C39,tbLate[האם חור],"&gt;0")</f>
        <v>0</v>
      </c>
      <c r="X39" s="95">
        <v>4</v>
      </c>
      <c r="Y39">
        <f t="shared" ca="1" si="18"/>
        <v>2024</v>
      </c>
      <c r="Z39">
        <f t="shared" ca="1" si="14"/>
        <v>5</v>
      </c>
      <c r="AA39" s="120">
        <f t="shared" ca="1" si="19"/>
        <v>45413</v>
      </c>
      <c r="AB39">
        <f ca="1">COUNTIFS(tbLate[שנה],Y39,tbLate[חודש],Z39,tbLate[מס''דק''איחור],"&gt;0",tbLate[שם המאחר],$Y$33)</f>
        <v>0</v>
      </c>
      <c r="AC39" s="96">
        <f ca="1">COUNTIFS(tbLate[שנה],Y39,tbLate[חודש],Z39,tbLate[האם חור],"&gt;0",tbLate[שם המאחר],$Y$33)</f>
        <v>0</v>
      </c>
    </row>
    <row r="40" spans="1:29">
      <c r="A40" s="95">
        <v>5</v>
      </c>
      <c r="B40">
        <f t="shared" ca="1" si="15"/>
        <v>2024</v>
      </c>
      <c r="C40">
        <f t="shared" ca="1" si="16"/>
        <v>34</v>
      </c>
      <c r="D40" t="str">
        <f t="shared" ca="1" si="17"/>
        <v>34, 2024</v>
      </c>
      <c r="E40">
        <f ca="1">COUNTIFS(tbLate[שנה],'מידע לגרפים'!B40,tbLate[מס'' שבוע],'מידע לגרפים'!C40,tbLate[מס''דק''איחור],"&gt;0")</f>
        <v>0</v>
      </c>
      <c r="F40" s="96">
        <f ca="1">COUNTIFS(tbLate[שנה],'מידע לגרפים'!B40,tbLate[מס'' שבוע],'מידע לגרפים'!C40,tbLate[האם חור],"&gt;0")</f>
        <v>0</v>
      </c>
      <c r="X40" s="95">
        <v>5</v>
      </c>
      <c r="Y40">
        <f t="shared" ca="1" si="18"/>
        <v>2024</v>
      </c>
      <c r="Z40">
        <f t="shared" ca="1" si="14"/>
        <v>4</v>
      </c>
      <c r="AA40" s="120">
        <f t="shared" ca="1" si="19"/>
        <v>45383</v>
      </c>
      <c r="AB40">
        <f ca="1">COUNTIFS(tbLate[שנה],Y40,tbLate[חודש],Z40,tbLate[מס''דק''איחור],"&gt;0",tbLate[שם המאחר],$Y$33)</f>
        <v>0</v>
      </c>
      <c r="AC40" s="96">
        <f ca="1">COUNTIFS(tbLate[שנה],Y40,tbLate[חודש],Z40,tbLate[האם חור],"&gt;0",tbLate[שם המאחר],$Y$33)</f>
        <v>0</v>
      </c>
    </row>
    <row r="41" spans="1:29">
      <c r="A41" s="95">
        <v>6</v>
      </c>
      <c r="B41">
        <f t="shared" ca="1" si="15"/>
        <v>2024</v>
      </c>
      <c r="C41">
        <f t="shared" ca="1" si="16"/>
        <v>33</v>
      </c>
      <c r="D41" t="str">
        <f t="shared" ca="1" si="17"/>
        <v>33, 2024</v>
      </c>
      <c r="E41">
        <f ca="1">COUNTIFS(tbLate[שנה],'מידע לגרפים'!B41,tbLate[מס'' שבוע],'מידע לגרפים'!C41,tbLate[מס''דק''איחור],"&gt;0")</f>
        <v>0</v>
      </c>
      <c r="F41" s="96">
        <f ca="1">COUNTIFS(tbLate[שנה],'מידע לגרפים'!B41,tbLate[מס'' שבוע],'מידע לגרפים'!C41,tbLate[האם חור],"&gt;0")</f>
        <v>0</v>
      </c>
      <c r="X41" s="95">
        <v>6</v>
      </c>
      <c r="Y41">
        <f t="shared" ca="1" si="18"/>
        <v>2024</v>
      </c>
      <c r="Z41">
        <f t="shared" ca="1" si="14"/>
        <v>3</v>
      </c>
      <c r="AA41" s="120">
        <f t="shared" ca="1" si="19"/>
        <v>45352</v>
      </c>
      <c r="AB41">
        <f ca="1">COUNTIFS(tbLate[שנה],Y41,tbLate[חודש],Z41,tbLate[מס''דק''איחור],"&gt;0",tbLate[שם המאחר],$Y$33)</f>
        <v>0</v>
      </c>
      <c r="AC41" s="96">
        <f ca="1">COUNTIFS(tbLate[שנה],Y41,tbLate[חודש],Z41,tbLate[האם חור],"&gt;0",tbLate[שם המאחר],$Y$33)</f>
        <v>0</v>
      </c>
    </row>
    <row r="42" spans="1:29">
      <c r="A42" s="95">
        <v>7</v>
      </c>
      <c r="B42">
        <f t="shared" ca="1" si="15"/>
        <v>2024</v>
      </c>
      <c r="C42">
        <f t="shared" ca="1" si="16"/>
        <v>32</v>
      </c>
      <c r="D42" t="str">
        <f t="shared" ca="1" si="17"/>
        <v>32, 2024</v>
      </c>
      <c r="E42">
        <f ca="1">COUNTIFS(tbLate[שנה],'מידע לגרפים'!B42,tbLate[מס'' שבוע],'מידע לגרפים'!C42,tbLate[מס''דק''איחור],"&gt;0")</f>
        <v>0</v>
      </c>
      <c r="F42" s="96">
        <f ca="1">COUNTIFS(tbLate[שנה],'מידע לגרפים'!B42,tbLate[מס'' שבוע],'מידע לגרפים'!C42,tbLate[האם חור],"&gt;0")</f>
        <v>0</v>
      </c>
      <c r="X42" s="95">
        <v>7</v>
      </c>
      <c r="Y42">
        <f t="shared" ca="1" si="18"/>
        <v>2024</v>
      </c>
      <c r="Z42">
        <f t="shared" ca="1" si="14"/>
        <v>2</v>
      </c>
      <c r="AA42" s="120">
        <f t="shared" ca="1" si="19"/>
        <v>45323</v>
      </c>
      <c r="AB42">
        <f ca="1">COUNTIFS(tbLate[שנה],Y42,tbLate[חודש],Z42,tbLate[מס''דק''איחור],"&gt;0",tbLate[שם המאחר],$Y$33)</f>
        <v>0</v>
      </c>
      <c r="AC42" s="96">
        <f ca="1">COUNTIFS(tbLate[שנה],Y42,tbLate[חודש],Z42,tbLate[האם חור],"&gt;0",tbLate[שם המאחר],$Y$33)</f>
        <v>0</v>
      </c>
    </row>
    <row r="43" spans="1:29">
      <c r="A43" s="95">
        <v>8</v>
      </c>
      <c r="B43">
        <f t="shared" ca="1" si="15"/>
        <v>2024</v>
      </c>
      <c r="C43">
        <f t="shared" ca="1" si="16"/>
        <v>31</v>
      </c>
      <c r="D43" t="str">
        <f t="shared" ca="1" si="17"/>
        <v>31, 2024</v>
      </c>
      <c r="E43">
        <f ca="1">COUNTIFS(tbLate[שנה],'מידע לגרפים'!B43,tbLate[מס'' שבוע],'מידע לגרפים'!C43,tbLate[מס''דק''איחור],"&gt;0")</f>
        <v>0</v>
      </c>
      <c r="F43" s="96">
        <f ca="1">COUNTIFS(tbLate[שנה],'מידע לגרפים'!B43,tbLate[מס'' שבוע],'מידע לגרפים'!C43,tbLate[האם חור],"&gt;0")</f>
        <v>0</v>
      </c>
      <c r="X43" s="95">
        <v>8</v>
      </c>
      <c r="Y43">
        <f t="shared" ca="1" si="18"/>
        <v>2024</v>
      </c>
      <c r="Z43">
        <f t="shared" ca="1" si="14"/>
        <v>1</v>
      </c>
      <c r="AA43" s="120">
        <f t="shared" ca="1" si="19"/>
        <v>45292</v>
      </c>
      <c r="AB43">
        <f ca="1">COUNTIFS(tbLate[שנה],Y43,tbLate[חודש],Z43,tbLate[מס''דק''איחור],"&gt;0",tbLate[שם המאחר],$Y$33)</f>
        <v>0</v>
      </c>
      <c r="AC43" s="96">
        <f ca="1">COUNTIFS(tbLate[שנה],Y43,tbLate[חודש],Z43,tbLate[האם חור],"&gt;0",tbLate[שם המאחר],$Y$33)</f>
        <v>0</v>
      </c>
    </row>
    <row r="44" spans="1:29">
      <c r="A44" s="95">
        <v>9</v>
      </c>
      <c r="B44">
        <f t="shared" ca="1" si="15"/>
        <v>2024</v>
      </c>
      <c r="C44">
        <f t="shared" ca="1" si="16"/>
        <v>30</v>
      </c>
      <c r="D44" t="str">
        <f t="shared" ca="1" si="17"/>
        <v>30, 2024</v>
      </c>
      <c r="E44">
        <f ca="1">COUNTIFS(tbLate[שנה],'מידע לגרפים'!B44,tbLate[מס'' שבוע],'מידע לגרפים'!C44,tbLate[מס''דק''איחור],"&gt;0")</f>
        <v>0</v>
      </c>
      <c r="F44" s="96">
        <f ca="1">COUNTIFS(tbLate[שנה],'מידע לגרפים'!B44,tbLate[מס'' שבוע],'מידע לגרפים'!C44,tbLate[האם חור],"&gt;0")</f>
        <v>0</v>
      </c>
      <c r="X44" s="95">
        <v>9</v>
      </c>
      <c r="Y44">
        <f t="shared" ca="1" si="18"/>
        <v>2023</v>
      </c>
      <c r="Z44">
        <f t="shared" ca="1" si="14"/>
        <v>12</v>
      </c>
      <c r="AA44" s="120">
        <f t="shared" ca="1" si="19"/>
        <v>45261</v>
      </c>
      <c r="AB44">
        <f ca="1">COUNTIFS(tbLate[שנה],Y44,tbLate[חודש],Z44,tbLate[מס''דק''איחור],"&gt;0",tbLate[שם המאחר],$Y$33)</f>
        <v>0</v>
      </c>
      <c r="AC44" s="96">
        <f ca="1">COUNTIFS(tbLate[שנה],Y44,tbLate[חודש],Z44,tbLate[האם חור],"&gt;0",tbLate[שם המאחר],$Y$33)</f>
        <v>0</v>
      </c>
    </row>
    <row r="45" spans="1:29">
      <c r="A45" s="95">
        <v>10</v>
      </c>
      <c r="B45">
        <f t="shared" ca="1" si="15"/>
        <v>2024</v>
      </c>
      <c r="C45">
        <f t="shared" ca="1" si="16"/>
        <v>29</v>
      </c>
      <c r="D45" t="str">
        <f t="shared" ca="1" si="17"/>
        <v>29, 2024</v>
      </c>
      <c r="E45">
        <f ca="1">COUNTIFS(tbLate[שנה],'מידע לגרפים'!B45,tbLate[מס'' שבוע],'מידע לגרפים'!C45,tbLate[מס''דק''איחור],"&gt;0")</f>
        <v>0</v>
      </c>
      <c r="F45" s="96">
        <f ca="1">COUNTIFS(tbLate[שנה],'מידע לגרפים'!B45,tbLate[מס'' שבוע],'מידע לגרפים'!C45,tbLate[האם חור],"&gt;0")</f>
        <v>0</v>
      </c>
      <c r="X45" s="95">
        <v>10</v>
      </c>
      <c r="Y45">
        <f t="shared" ca="1" si="18"/>
        <v>2023</v>
      </c>
      <c r="Z45">
        <f t="shared" ca="1" si="14"/>
        <v>11</v>
      </c>
      <c r="AA45" s="120">
        <f t="shared" ca="1" si="19"/>
        <v>45231</v>
      </c>
      <c r="AB45">
        <f ca="1">COUNTIFS(tbLate[שנה],Y45,tbLate[חודש],Z45,tbLate[מס''דק''איחור],"&gt;0",tbLate[שם המאחר],$Y$33)</f>
        <v>0</v>
      </c>
      <c r="AC45" s="96">
        <f ca="1">COUNTIFS(tbLate[שנה],Y45,tbLate[חודש],Z45,tbLate[האם חור],"&gt;0",tbLate[שם המאחר],$Y$33)</f>
        <v>0</v>
      </c>
    </row>
    <row r="46" spans="1:29" ht="14.4" thickBot="1">
      <c r="A46" s="95">
        <v>11</v>
      </c>
      <c r="B46">
        <f t="shared" ca="1" si="15"/>
        <v>2024</v>
      </c>
      <c r="C46">
        <f t="shared" ca="1" si="16"/>
        <v>28</v>
      </c>
      <c r="D46" t="str">
        <f t="shared" ca="1" si="17"/>
        <v>28, 2024</v>
      </c>
      <c r="E46">
        <f ca="1">COUNTIFS(tbLate[שנה],'מידע לגרפים'!B46,tbLate[מס'' שבוע],'מידע לגרפים'!C46,tbLate[מס''דק''איחור],"&gt;0")</f>
        <v>0</v>
      </c>
      <c r="F46" s="96">
        <f ca="1">COUNTIFS(tbLate[שנה],'מידע לגרפים'!B46,tbLate[מס'' שבוע],'מידע לגרפים'!C46,tbLate[האם חור],"&gt;0")</f>
        <v>0</v>
      </c>
      <c r="X46" s="197">
        <v>11</v>
      </c>
      <c r="Y46" s="198">
        <f t="shared" ca="1" si="18"/>
        <v>2023</v>
      </c>
      <c r="Z46" s="198">
        <f t="shared" ca="1" si="14"/>
        <v>10</v>
      </c>
      <c r="AA46" s="199">
        <f t="shared" ca="1" si="19"/>
        <v>45200</v>
      </c>
      <c r="AB46" s="198">
        <f ca="1">COUNTIFS(tbLate[שנה],Y46,tbLate[חודש],Z46,tbLate[מס''דק''איחור],"&gt;0",tbLate[שם המאחר],$Y$33)</f>
        <v>0</v>
      </c>
      <c r="AC46" s="200">
        <f ca="1">COUNTIFS(tbLate[שנה],Y46,tbLate[חודש],Z46,tbLate[האם חור],"&gt;0",tbLate[שם המאחר],$Y$33)</f>
        <v>0</v>
      </c>
    </row>
    <row r="47" spans="1:29">
      <c r="A47" s="95">
        <v>12</v>
      </c>
      <c r="B47">
        <f t="shared" ca="1" si="15"/>
        <v>2024</v>
      </c>
      <c r="C47">
        <f t="shared" ca="1" si="16"/>
        <v>27</v>
      </c>
      <c r="D47" t="str">
        <f t="shared" ca="1" si="17"/>
        <v>27, 2024</v>
      </c>
      <c r="E47">
        <f ca="1">COUNTIFS(tbLate[שנה],'מידע לגרפים'!B47,tbLate[מס'' שבוע],'מידע לגרפים'!C47,tbLate[מס''דק''איחור],"&gt;0")</f>
        <v>0</v>
      </c>
      <c r="F47" s="96">
        <f ca="1">COUNTIFS(tbLate[שנה],'מידע לגרפים'!B47,tbLate[מס'' שבוע],'מידע לגרפים'!C47,tbLate[האם חור],"&gt;0")</f>
        <v>0</v>
      </c>
    </row>
    <row r="48" spans="1:29">
      <c r="A48" s="95">
        <v>13</v>
      </c>
      <c r="B48">
        <f t="shared" ca="1" si="15"/>
        <v>2024</v>
      </c>
      <c r="C48">
        <f t="shared" ca="1" si="16"/>
        <v>26</v>
      </c>
      <c r="D48" t="str">
        <f t="shared" ca="1" si="17"/>
        <v>26, 2024</v>
      </c>
      <c r="E48">
        <f ca="1">COUNTIFS(tbLate[שנה],'מידע לגרפים'!B48,tbLate[מס'' שבוע],'מידע לגרפים'!C48,tbLate[מס''דק''איחור],"&gt;0")</f>
        <v>0</v>
      </c>
      <c r="F48" s="96">
        <f ca="1">COUNTIFS(tbLate[שנה],'מידע לגרפים'!B48,tbLate[מס'' שבוע],'מידע לגרפים'!C48,tbLate[האם חור],"&gt;0")</f>
        <v>0</v>
      </c>
    </row>
    <row r="49" spans="1:6">
      <c r="A49" s="95">
        <v>14</v>
      </c>
      <c r="B49">
        <f t="shared" ca="1" si="15"/>
        <v>2024</v>
      </c>
      <c r="C49">
        <f t="shared" ca="1" si="16"/>
        <v>25</v>
      </c>
      <c r="D49" t="str">
        <f t="shared" ca="1" si="17"/>
        <v>25, 2024</v>
      </c>
      <c r="E49">
        <f ca="1">COUNTIFS(tbLate[שנה],'מידע לגרפים'!B49,tbLate[מס'' שבוע],'מידע לגרפים'!C49,tbLate[מס''דק''איחור],"&gt;0")</f>
        <v>0</v>
      </c>
      <c r="F49" s="96">
        <f ca="1">COUNTIFS(tbLate[שנה],'מידע לגרפים'!B49,tbLate[מס'' שבוע],'מידע לגרפים'!C49,tbLate[האם חור],"&gt;0")</f>
        <v>0</v>
      </c>
    </row>
    <row r="50" spans="1:6">
      <c r="A50" s="95">
        <v>15</v>
      </c>
      <c r="B50">
        <f t="shared" ca="1" si="15"/>
        <v>2024</v>
      </c>
      <c r="C50">
        <f t="shared" ca="1" si="16"/>
        <v>24</v>
      </c>
      <c r="D50" t="str">
        <f t="shared" ca="1" si="17"/>
        <v>24, 2024</v>
      </c>
      <c r="E50">
        <f ca="1">COUNTIFS(tbLate[שנה],'מידע לגרפים'!B50,tbLate[מס'' שבוע],'מידע לגרפים'!C50,tbLate[מס''דק''איחור],"&gt;0")</f>
        <v>0</v>
      </c>
      <c r="F50" s="96">
        <f ca="1">COUNTIFS(tbLate[שנה],'מידע לגרפים'!B50,tbLate[מס'' שבוע],'מידע לגרפים'!C50,tbLate[האם חור],"&gt;0")</f>
        <v>0</v>
      </c>
    </row>
    <row r="51" spans="1:6">
      <c r="A51" s="95">
        <v>16</v>
      </c>
      <c r="B51">
        <f t="shared" ca="1" si="15"/>
        <v>2024</v>
      </c>
      <c r="C51">
        <f t="shared" ca="1" si="16"/>
        <v>23</v>
      </c>
      <c r="D51" t="str">
        <f t="shared" ca="1" si="17"/>
        <v>23, 2024</v>
      </c>
      <c r="E51">
        <f ca="1">COUNTIFS(tbLate[שנה],'מידע לגרפים'!B51,tbLate[מס'' שבוע],'מידע לגרפים'!C51,tbLate[מס''דק''איחור],"&gt;0")</f>
        <v>0</v>
      </c>
      <c r="F51" s="96">
        <f ca="1">COUNTIFS(tbLate[שנה],'מידע לגרפים'!B51,tbLate[מס'' שבוע],'מידע לגרפים'!C51,tbLate[האם חור],"&gt;0")</f>
        <v>0</v>
      </c>
    </row>
    <row r="52" spans="1:6">
      <c r="A52" s="95">
        <v>17</v>
      </c>
      <c r="B52">
        <f t="shared" ca="1" si="15"/>
        <v>2024</v>
      </c>
      <c r="C52">
        <f t="shared" ca="1" si="16"/>
        <v>22</v>
      </c>
      <c r="D52" t="str">
        <f t="shared" ca="1" si="17"/>
        <v>22, 2024</v>
      </c>
      <c r="E52">
        <f ca="1">COUNTIFS(tbLate[שנה],'מידע לגרפים'!B52,tbLate[מס'' שבוע],'מידע לגרפים'!C52,tbLate[מס''דק''איחור],"&gt;0")</f>
        <v>0</v>
      </c>
      <c r="F52" s="96">
        <f ca="1">COUNTIFS(tbLate[שנה],'מידע לגרפים'!B52,tbLate[מס'' שבוע],'מידע לגרפים'!C52,tbLate[האם חור],"&gt;0")</f>
        <v>0</v>
      </c>
    </row>
    <row r="53" spans="1:6">
      <c r="A53" s="95">
        <v>18</v>
      </c>
      <c r="B53">
        <f t="shared" ca="1" si="15"/>
        <v>2024</v>
      </c>
      <c r="C53">
        <f t="shared" ca="1" si="16"/>
        <v>21</v>
      </c>
      <c r="D53" t="str">
        <f t="shared" ca="1" si="17"/>
        <v>21, 2024</v>
      </c>
      <c r="E53">
        <f ca="1">COUNTIFS(tbLate[שנה],'מידע לגרפים'!B53,tbLate[מס'' שבוע],'מידע לגרפים'!C53,tbLate[מס''דק''איחור],"&gt;0")</f>
        <v>0</v>
      </c>
      <c r="F53" s="96">
        <f ca="1">COUNTIFS(tbLate[שנה],'מידע לגרפים'!B53,tbLate[מס'' שבוע],'מידע לגרפים'!C53,tbLate[האם חור],"&gt;0")</f>
        <v>0</v>
      </c>
    </row>
    <row r="54" spans="1:6">
      <c r="A54" s="95">
        <v>19</v>
      </c>
      <c r="B54">
        <f t="shared" ca="1" si="15"/>
        <v>2024</v>
      </c>
      <c r="C54">
        <f t="shared" ca="1" si="16"/>
        <v>20</v>
      </c>
      <c r="D54" t="str">
        <f t="shared" ca="1" si="17"/>
        <v>20, 2024</v>
      </c>
      <c r="E54">
        <f ca="1">COUNTIFS(tbLate[שנה],'מידע לגרפים'!B54,tbLate[מס'' שבוע],'מידע לגרפים'!C54,tbLate[מס''דק''איחור],"&gt;0")</f>
        <v>0</v>
      </c>
      <c r="F54" s="96">
        <f ca="1">COUNTIFS(tbLate[שנה],'מידע לגרפים'!B54,tbLate[מס'' שבוע],'מידע לגרפים'!C54,tbLate[האם חור],"&gt;0")</f>
        <v>0</v>
      </c>
    </row>
    <row r="55" spans="1:6">
      <c r="A55" s="95">
        <v>20</v>
      </c>
      <c r="B55">
        <f t="shared" ca="1" si="15"/>
        <v>2024</v>
      </c>
      <c r="C55">
        <f t="shared" ca="1" si="16"/>
        <v>19</v>
      </c>
      <c r="D55" t="str">
        <f t="shared" ca="1" si="17"/>
        <v>19, 2024</v>
      </c>
      <c r="E55">
        <f ca="1">COUNTIFS(tbLate[שנה],'מידע לגרפים'!B55,tbLate[מס'' שבוע],'מידע לגרפים'!C55,tbLate[מס''דק''איחור],"&gt;0")</f>
        <v>0</v>
      </c>
      <c r="F55" s="96">
        <f ca="1">COUNTIFS(tbLate[שנה],'מידע לגרפים'!B55,tbLate[מס'' שבוע],'מידע לגרפים'!C55,tbLate[האם חור],"&gt;0")</f>
        <v>0</v>
      </c>
    </row>
    <row r="56" spans="1:6">
      <c r="A56" s="95">
        <v>21</v>
      </c>
      <c r="B56">
        <f t="shared" ca="1" si="15"/>
        <v>2024</v>
      </c>
      <c r="C56">
        <f t="shared" ca="1" si="16"/>
        <v>18</v>
      </c>
      <c r="D56" t="str">
        <f t="shared" ca="1" si="17"/>
        <v>18, 2024</v>
      </c>
      <c r="E56">
        <f ca="1">COUNTIFS(tbLate[שנה],'מידע לגרפים'!B56,tbLate[מס'' שבוע],'מידע לגרפים'!C56,tbLate[מס''דק''איחור],"&gt;0")</f>
        <v>0</v>
      </c>
      <c r="F56" s="96">
        <f ca="1">COUNTIFS(tbLate[שנה],'מידע לגרפים'!B56,tbLate[מס'' שבוע],'מידע לגרפים'!C56,tbLate[האם חור],"&gt;0")</f>
        <v>0</v>
      </c>
    </row>
    <row r="57" spans="1:6">
      <c r="A57" s="95">
        <v>22</v>
      </c>
      <c r="B57">
        <f t="shared" ca="1" si="15"/>
        <v>2024</v>
      </c>
      <c r="C57">
        <f t="shared" ca="1" si="16"/>
        <v>17</v>
      </c>
      <c r="D57" t="str">
        <f t="shared" ca="1" si="17"/>
        <v>17, 2024</v>
      </c>
      <c r="E57">
        <f ca="1">COUNTIFS(tbLate[שנה],'מידע לגרפים'!B57,tbLate[מס'' שבוע],'מידע לגרפים'!C57,tbLate[מס''דק''איחור],"&gt;0")</f>
        <v>0</v>
      </c>
      <c r="F57" s="96">
        <f ca="1">COUNTIFS(tbLate[שנה],'מידע לגרפים'!B57,tbLate[מס'' שבוע],'מידע לגרפים'!C57,tbLate[האם חור],"&gt;0")</f>
        <v>0</v>
      </c>
    </row>
    <row r="58" spans="1:6">
      <c r="A58" s="95">
        <v>23</v>
      </c>
      <c r="B58">
        <f t="shared" ca="1" si="15"/>
        <v>2024</v>
      </c>
      <c r="C58">
        <f t="shared" ca="1" si="16"/>
        <v>16</v>
      </c>
      <c r="D58" t="str">
        <f t="shared" ca="1" si="17"/>
        <v>16, 2024</v>
      </c>
      <c r="E58">
        <f ca="1">COUNTIFS(tbLate[שנה],'מידע לגרפים'!B58,tbLate[מס'' שבוע],'מידע לגרפים'!C58,tbLate[מס''דק''איחור],"&gt;0")</f>
        <v>0</v>
      </c>
      <c r="F58" s="96">
        <f ca="1">COUNTIFS(tbLate[שנה],'מידע לגרפים'!B58,tbLate[מס'' שבוע],'מידע לגרפים'!C58,tbLate[האם חור],"&gt;0")</f>
        <v>0</v>
      </c>
    </row>
    <row r="59" spans="1:6">
      <c r="A59" s="95">
        <v>24</v>
      </c>
      <c r="B59">
        <f t="shared" ca="1" si="15"/>
        <v>2024</v>
      </c>
      <c r="C59">
        <f t="shared" ca="1" si="16"/>
        <v>15</v>
      </c>
      <c r="D59" t="str">
        <f t="shared" ca="1" si="17"/>
        <v>15, 2024</v>
      </c>
      <c r="E59">
        <f ca="1">COUNTIFS(tbLate[שנה],'מידע לגרפים'!B59,tbLate[מס'' שבוע],'מידע לגרפים'!C59,tbLate[מס''דק''איחור],"&gt;0")</f>
        <v>0</v>
      </c>
      <c r="F59" s="96">
        <f ca="1">COUNTIFS(tbLate[שנה],'מידע לגרפים'!B59,tbLate[מס'' שבוע],'מידע לגרפים'!C59,tbLate[האם חור],"&gt;0")</f>
        <v>0</v>
      </c>
    </row>
    <row r="60" spans="1:6">
      <c r="A60" s="95">
        <v>25</v>
      </c>
      <c r="B60">
        <f t="shared" ca="1" si="15"/>
        <v>2024</v>
      </c>
      <c r="C60">
        <f t="shared" ca="1" si="16"/>
        <v>14</v>
      </c>
      <c r="D60" t="str">
        <f t="shared" ca="1" si="17"/>
        <v>14, 2024</v>
      </c>
      <c r="E60">
        <f ca="1">COUNTIFS(tbLate[שנה],'מידע לגרפים'!B60,tbLate[מס'' שבוע],'מידע לגרפים'!C60,tbLate[מס''דק''איחור],"&gt;0")</f>
        <v>0</v>
      </c>
      <c r="F60" s="96">
        <f ca="1">COUNTIFS(tbLate[שנה],'מידע לגרפים'!B60,tbLate[מס'' שבוע],'מידע לגרפים'!C60,tbLate[האם חור],"&gt;0")</f>
        <v>0</v>
      </c>
    </row>
    <row r="61" spans="1:6">
      <c r="A61" s="95">
        <v>26</v>
      </c>
      <c r="B61">
        <f t="shared" ca="1" si="15"/>
        <v>2024</v>
      </c>
      <c r="C61">
        <f t="shared" ca="1" si="16"/>
        <v>13</v>
      </c>
      <c r="D61" t="str">
        <f t="shared" ca="1" si="17"/>
        <v>13, 2024</v>
      </c>
      <c r="E61">
        <f ca="1">COUNTIFS(tbLate[שנה],'מידע לגרפים'!B61,tbLate[מס'' שבוע],'מידע לגרפים'!C61,tbLate[מס''דק''איחור],"&gt;0")</f>
        <v>0</v>
      </c>
      <c r="F61" s="96">
        <f ca="1">COUNTIFS(tbLate[שנה],'מידע לגרפים'!B61,tbLate[מס'' שבוע],'מידע לגרפים'!C61,tbLate[האם חור],"&gt;0")</f>
        <v>0</v>
      </c>
    </row>
    <row r="62" spans="1:6">
      <c r="A62" s="95">
        <v>27</v>
      </c>
      <c r="B62">
        <f t="shared" ca="1" si="15"/>
        <v>2024</v>
      </c>
      <c r="C62">
        <f t="shared" ca="1" si="16"/>
        <v>12</v>
      </c>
      <c r="D62" t="str">
        <f t="shared" ca="1" si="17"/>
        <v>12, 2024</v>
      </c>
      <c r="E62">
        <f ca="1">COUNTIFS(tbLate[שנה],'מידע לגרפים'!B62,tbLate[מס'' שבוע],'מידע לגרפים'!C62,tbLate[מס''דק''איחור],"&gt;0")</f>
        <v>0</v>
      </c>
      <c r="F62" s="96">
        <f ca="1">COUNTIFS(tbLate[שנה],'מידע לגרפים'!B62,tbLate[מס'' שבוע],'מידע לגרפים'!C62,tbLate[האם חור],"&gt;0")</f>
        <v>0</v>
      </c>
    </row>
    <row r="63" spans="1:6">
      <c r="A63" s="95">
        <v>28</v>
      </c>
      <c r="B63">
        <f t="shared" ca="1" si="15"/>
        <v>2024</v>
      </c>
      <c r="C63">
        <f t="shared" ca="1" si="16"/>
        <v>11</v>
      </c>
      <c r="D63" t="str">
        <f t="shared" ca="1" si="17"/>
        <v>11, 2024</v>
      </c>
      <c r="E63">
        <f ca="1">COUNTIFS(tbLate[שנה],'מידע לגרפים'!B63,tbLate[מס'' שבוע],'מידע לגרפים'!C63,tbLate[מס''דק''איחור],"&gt;0")</f>
        <v>0</v>
      </c>
      <c r="F63" s="96">
        <f ca="1">COUNTIFS(tbLate[שנה],'מידע לגרפים'!B63,tbLate[מס'' שבוע],'מידע לגרפים'!C63,tbLate[האם חור],"&gt;0")</f>
        <v>0</v>
      </c>
    </row>
    <row r="64" spans="1:6">
      <c r="A64" s="95">
        <v>29</v>
      </c>
      <c r="B64">
        <f t="shared" ca="1" si="15"/>
        <v>2024</v>
      </c>
      <c r="C64">
        <f t="shared" ca="1" si="16"/>
        <v>10</v>
      </c>
      <c r="D64" t="str">
        <f t="shared" ca="1" si="17"/>
        <v>10, 2024</v>
      </c>
      <c r="E64">
        <f ca="1">COUNTIFS(tbLate[שנה],'מידע לגרפים'!B64,tbLate[מס'' שבוע],'מידע לגרפים'!C64,tbLate[מס''דק''איחור],"&gt;0")</f>
        <v>0</v>
      </c>
      <c r="F64" s="96">
        <f ca="1">COUNTIFS(tbLate[שנה],'מידע לגרפים'!B64,tbLate[מס'' שבוע],'מידע לגרפים'!C64,tbLate[האם חור],"&gt;0")</f>
        <v>0</v>
      </c>
    </row>
    <row r="65" spans="1:6">
      <c r="A65" s="95">
        <v>30</v>
      </c>
      <c r="B65">
        <f t="shared" ca="1" si="15"/>
        <v>2024</v>
      </c>
      <c r="C65">
        <f t="shared" ca="1" si="16"/>
        <v>9</v>
      </c>
      <c r="D65" t="str">
        <f t="shared" ca="1" si="17"/>
        <v>9, 2024</v>
      </c>
      <c r="E65">
        <f ca="1">COUNTIFS(tbLate[שנה],'מידע לגרפים'!B65,tbLate[מס'' שבוע],'מידע לגרפים'!C65,tbLate[מס''דק''איחור],"&gt;0")</f>
        <v>0</v>
      </c>
      <c r="F65" s="96">
        <f ca="1">COUNTIFS(tbLate[שנה],'מידע לגרפים'!B65,tbLate[מס'' שבוע],'מידע לגרפים'!C65,tbLate[האם חור],"&gt;0")</f>
        <v>0</v>
      </c>
    </row>
    <row r="66" spans="1:6">
      <c r="A66" s="95">
        <v>31</v>
      </c>
      <c r="B66">
        <f t="shared" ca="1" si="15"/>
        <v>2024</v>
      </c>
      <c r="C66">
        <f t="shared" ca="1" si="16"/>
        <v>8</v>
      </c>
      <c r="D66" t="str">
        <f t="shared" ca="1" si="17"/>
        <v>8, 2024</v>
      </c>
      <c r="E66">
        <f ca="1">COUNTIFS(tbLate[שנה],'מידע לגרפים'!B66,tbLate[מס'' שבוע],'מידע לגרפים'!C66,tbLate[מס''דק''איחור],"&gt;0")</f>
        <v>0</v>
      </c>
      <c r="F66" s="96">
        <f ca="1">COUNTIFS(tbLate[שנה],'מידע לגרפים'!B66,tbLate[מס'' שבוע],'מידע לגרפים'!C66,tbLate[האם חור],"&gt;0")</f>
        <v>0</v>
      </c>
    </row>
    <row r="67" spans="1:6">
      <c r="A67" s="95">
        <v>32</v>
      </c>
      <c r="B67">
        <f t="shared" ca="1" si="15"/>
        <v>2024</v>
      </c>
      <c r="C67">
        <f t="shared" ca="1" si="16"/>
        <v>7</v>
      </c>
      <c r="D67" t="str">
        <f t="shared" ca="1" si="17"/>
        <v>7, 2024</v>
      </c>
      <c r="E67">
        <f ca="1">COUNTIFS(tbLate[שנה],'מידע לגרפים'!B67,tbLate[מס'' שבוע],'מידע לגרפים'!C67,tbLate[מס''דק''איחור],"&gt;0")</f>
        <v>0</v>
      </c>
      <c r="F67" s="96">
        <f ca="1">COUNTIFS(tbLate[שנה],'מידע לגרפים'!B67,tbLate[מס'' שבוע],'מידע לגרפים'!C67,tbLate[האם חור],"&gt;0")</f>
        <v>0</v>
      </c>
    </row>
    <row r="68" spans="1:6">
      <c r="A68" s="95">
        <v>33</v>
      </c>
      <c r="B68">
        <f t="shared" ca="1" si="15"/>
        <v>2024</v>
      </c>
      <c r="C68">
        <f t="shared" ca="1" si="16"/>
        <v>6</v>
      </c>
      <c r="D68" t="str">
        <f t="shared" ca="1" si="17"/>
        <v>6, 2024</v>
      </c>
      <c r="E68">
        <f ca="1">COUNTIFS(tbLate[שנה],'מידע לגרפים'!B68,tbLate[מס'' שבוע],'מידע לגרפים'!C68,tbLate[מס''דק''איחור],"&gt;0")</f>
        <v>0</v>
      </c>
      <c r="F68" s="96">
        <f ca="1">COUNTIFS(tbLate[שנה],'מידע לגרפים'!B68,tbLate[מס'' שבוע],'מידע לגרפים'!C68,tbLate[האם חור],"&gt;0")</f>
        <v>0</v>
      </c>
    </row>
    <row r="69" spans="1:6">
      <c r="A69" s="95">
        <v>34</v>
      </c>
      <c r="B69">
        <f t="shared" ca="1" si="15"/>
        <v>2024</v>
      </c>
      <c r="C69">
        <f t="shared" ca="1" si="16"/>
        <v>5</v>
      </c>
      <c r="D69" t="str">
        <f t="shared" ca="1" si="17"/>
        <v>5, 2024</v>
      </c>
      <c r="E69">
        <f ca="1">COUNTIFS(tbLate[שנה],'מידע לגרפים'!B69,tbLate[מס'' שבוע],'מידע לגרפים'!C69,tbLate[מס''דק''איחור],"&gt;0")</f>
        <v>0</v>
      </c>
      <c r="F69" s="96">
        <f ca="1">COUNTIFS(tbLate[שנה],'מידע לגרפים'!B69,tbLate[מס'' שבוע],'מידע לגרפים'!C69,tbLate[האם חור],"&gt;0")</f>
        <v>0</v>
      </c>
    </row>
    <row r="70" spans="1:6">
      <c r="A70" s="95">
        <v>35</v>
      </c>
      <c r="B70">
        <f t="shared" ca="1" si="15"/>
        <v>2024</v>
      </c>
      <c r="C70">
        <f t="shared" ca="1" si="16"/>
        <v>4</v>
      </c>
      <c r="D70" t="str">
        <f t="shared" ca="1" si="17"/>
        <v>4, 2024</v>
      </c>
      <c r="E70">
        <f ca="1">COUNTIFS(tbLate[שנה],'מידע לגרפים'!B70,tbLate[מס'' שבוע],'מידע לגרפים'!C70,tbLate[מס''דק''איחור],"&gt;0")</f>
        <v>0</v>
      </c>
      <c r="F70" s="96">
        <f ca="1">COUNTIFS(tbLate[שנה],'מידע לגרפים'!B70,tbLate[מס'' שבוע],'מידע לגרפים'!C70,tbLate[האם חור],"&gt;0")</f>
        <v>0</v>
      </c>
    </row>
    <row r="71" spans="1:6">
      <c r="A71" s="95">
        <v>36</v>
      </c>
      <c r="B71">
        <f t="shared" ca="1" si="15"/>
        <v>2024</v>
      </c>
      <c r="C71">
        <f t="shared" ca="1" si="16"/>
        <v>3</v>
      </c>
      <c r="D71" t="str">
        <f t="shared" ca="1" si="17"/>
        <v>3, 2024</v>
      </c>
      <c r="E71">
        <f ca="1">COUNTIFS(tbLate[שנה],'מידע לגרפים'!B71,tbLate[מס'' שבוע],'מידע לגרפים'!C71,tbLate[מס''דק''איחור],"&gt;0")</f>
        <v>0</v>
      </c>
      <c r="F71" s="96">
        <f ca="1">COUNTIFS(tbLate[שנה],'מידע לגרפים'!B71,tbLate[מס'' שבוע],'מידע לגרפים'!C71,tbLate[האם חור],"&gt;0")</f>
        <v>0</v>
      </c>
    </row>
    <row r="72" spans="1:6">
      <c r="A72" s="95">
        <v>37</v>
      </c>
      <c r="B72">
        <f t="shared" ca="1" si="15"/>
        <v>2024</v>
      </c>
      <c r="C72">
        <f t="shared" ca="1" si="16"/>
        <v>2</v>
      </c>
      <c r="D72" t="str">
        <f t="shared" ca="1" si="17"/>
        <v>2, 2024</v>
      </c>
      <c r="E72">
        <f ca="1">COUNTIFS(tbLate[שנה],'מידע לגרפים'!B72,tbLate[מס'' שבוע],'מידע לגרפים'!C72,tbLate[מס''דק''איחור],"&gt;0")</f>
        <v>0</v>
      </c>
      <c r="F72" s="96">
        <f ca="1">COUNTIFS(tbLate[שנה],'מידע לגרפים'!B72,tbLate[מס'' שבוע],'מידע לגרפים'!C72,tbLate[האם חור],"&gt;0")</f>
        <v>0</v>
      </c>
    </row>
    <row r="73" spans="1:6">
      <c r="A73" s="95">
        <v>38</v>
      </c>
      <c r="B73">
        <f t="shared" ca="1" si="15"/>
        <v>2024</v>
      </c>
      <c r="C73">
        <f t="shared" ca="1" si="16"/>
        <v>1</v>
      </c>
      <c r="D73" t="str">
        <f t="shared" ca="1" si="17"/>
        <v>1, 2024</v>
      </c>
      <c r="E73">
        <f ca="1">COUNTIFS(tbLate[שנה],'מידע לגרפים'!B73,tbLate[מס'' שבוע],'מידע לגרפים'!C73,tbLate[מס''דק''איחור],"&gt;0")</f>
        <v>0</v>
      </c>
      <c r="F73" s="96">
        <f ca="1">COUNTIFS(tbLate[שנה],'מידע לגרפים'!B73,tbLate[מס'' שבוע],'מידע לגרפים'!C73,tbLate[האם חור],"&gt;0")</f>
        <v>0</v>
      </c>
    </row>
    <row r="74" spans="1:6">
      <c r="A74" s="95">
        <v>39</v>
      </c>
      <c r="B74">
        <f t="shared" ca="1" si="15"/>
        <v>2023</v>
      </c>
      <c r="C74">
        <f t="shared" ca="1" si="16"/>
        <v>52</v>
      </c>
      <c r="D74" t="str">
        <f t="shared" ca="1" si="17"/>
        <v>52, 2023</v>
      </c>
      <c r="E74">
        <f ca="1">COUNTIFS(tbLate[שנה],'מידע לגרפים'!B74,tbLate[מס'' שבוע],'מידע לגרפים'!C74,tbLate[מס''דק''איחור],"&gt;0")</f>
        <v>0</v>
      </c>
      <c r="F74" s="96">
        <f ca="1">COUNTIFS(tbLate[שנה],'מידע לגרפים'!B74,tbLate[מס'' שבוע],'מידע לגרפים'!C74,tbLate[האם חור],"&gt;0")</f>
        <v>0</v>
      </c>
    </row>
    <row r="75" spans="1:6">
      <c r="A75" s="95">
        <v>40</v>
      </c>
      <c r="B75">
        <f t="shared" ca="1" si="15"/>
        <v>2023</v>
      </c>
      <c r="C75">
        <f t="shared" ca="1" si="16"/>
        <v>51</v>
      </c>
      <c r="D75" t="str">
        <f t="shared" ca="1" si="17"/>
        <v>51, 2023</v>
      </c>
      <c r="E75">
        <f ca="1">COUNTIFS(tbLate[שנה],'מידע לגרפים'!B75,tbLate[מס'' שבוע],'מידע לגרפים'!C75,tbLate[מס''דק''איחור],"&gt;0")</f>
        <v>0</v>
      </c>
      <c r="F75" s="96">
        <f ca="1">COUNTIFS(tbLate[שנה],'מידע לגרפים'!B75,tbLate[מס'' שבוע],'מידע לגרפים'!C75,tbLate[האם חור],"&gt;0")</f>
        <v>0</v>
      </c>
    </row>
    <row r="76" spans="1:6">
      <c r="A76" s="95">
        <v>41</v>
      </c>
      <c r="B76">
        <f t="shared" ca="1" si="15"/>
        <v>2023</v>
      </c>
      <c r="C76">
        <f t="shared" ca="1" si="16"/>
        <v>50</v>
      </c>
      <c r="D76" t="str">
        <f t="shared" ca="1" si="17"/>
        <v>50, 2023</v>
      </c>
      <c r="E76">
        <f ca="1">COUNTIFS(tbLate[שנה],'מידע לגרפים'!B76,tbLate[מס'' שבוע],'מידע לגרפים'!C76,tbLate[מס''דק''איחור],"&gt;0")</f>
        <v>0</v>
      </c>
      <c r="F76" s="96">
        <f ca="1">COUNTIFS(tbLate[שנה],'מידע לגרפים'!B76,tbLate[מס'' שבוע],'מידע לגרפים'!C76,tbLate[האם חור],"&gt;0")</f>
        <v>0</v>
      </c>
    </row>
    <row r="77" spans="1:6">
      <c r="A77" s="95">
        <v>42</v>
      </c>
      <c r="B77">
        <f t="shared" ca="1" si="15"/>
        <v>2023</v>
      </c>
      <c r="C77">
        <f t="shared" ca="1" si="16"/>
        <v>49</v>
      </c>
      <c r="D77" t="str">
        <f t="shared" ca="1" si="17"/>
        <v>49, 2023</v>
      </c>
      <c r="E77">
        <f ca="1">COUNTIFS(tbLate[שנה],'מידע לגרפים'!B77,tbLate[מס'' שבוע],'מידע לגרפים'!C77,tbLate[מס''דק''איחור],"&gt;0")</f>
        <v>0</v>
      </c>
      <c r="F77" s="96">
        <f ca="1">COUNTIFS(tbLate[שנה],'מידע לגרפים'!B77,tbLate[מס'' שבוע],'מידע לגרפים'!C77,tbLate[האם חור],"&gt;0")</f>
        <v>0</v>
      </c>
    </row>
    <row r="78" spans="1:6">
      <c r="A78" s="95">
        <v>43</v>
      </c>
      <c r="B78">
        <f t="shared" ca="1" si="15"/>
        <v>2023</v>
      </c>
      <c r="C78">
        <f t="shared" ca="1" si="16"/>
        <v>48</v>
      </c>
      <c r="D78" t="str">
        <f t="shared" ca="1" si="17"/>
        <v>48, 2023</v>
      </c>
      <c r="E78">
        <f ca="1">COUNTIFS(tbLate[שנה],'מידע לגרפים'!B78,tbLate[מס'' שבוע],'מידע לגרפים'!C78,tbLate[מס''דק''איחור],"&gt;0")</f>
        <v>0</v>
      </c>
      <c r="F78" s="96">
        <f ca="1">COUNTIFS(tbLate[שנה],'מידע לגרפים'!B78,tbLate[מס'' שבוע],'מידע לגרפים'!C78,tbLate[האם חור],"&gt;0")</f>
        <v>0</v>
      </c>
    </row>
    <row r="79" spans="1:6">
      <c r="A79" s="95">
        <v>44</v>
      </c>
      <c r="B79">
        <f t="shared" ca="1" si="15"/>
        <v>2023</v>
      </c>
      <c r="C79">
        <f t="shared" ca="1" si="16"/>
        <v>47</v>
      </c>
      <c r="D79" t="str">
        <f t="shared" ca="1" si="17"/>
        <v>47, 2023</v>
      </c>
      <c r="E79">
        <f ca="1">COUNTIFS(tbLate[שנה],'מידע לגרפים'!B79,tbLate[מס'' שבוע],'מידע לגרפים'!C79,tbLate[מס''דק''איחור],"&gt;0")</f>
        <v>0</v>
      </c>
      <c r="F79" s="96">
        <f ca="1">COUNTIFS(tbLate[שנה],'מידע לגרפים'!B79,tbLate[מס'' שבוע],'מידע לגרפים'!C79,tbLate[האם חור],"&gt;0")</f>
        <v>0</v>
      </c>
    </row>
    <row r="80" spans="1:6">
      <c r="A80" s="95">
        <v>45</v>
      </c>
      <c r="B80">
        <f t="shared" ca="1" si="15"/>
        <v>2023</v>
      </c>
      <c r="C80">
        <f t="shared" ca="1" si="16"/>
        <v>46</v>
      </c>
      <c r="D80" t="str">
        <f t="shared" ca="1" si="17"/>
        <v>46, 2023</v>
      </c>
      <c r="E80">
        <f ca="1">COUNTIFS(tbLate[שנה],'מידע לגרפים'!B80,tbLate[מס'' שבוע],'מידע לגרפים'!C80,tbLate[מס''דק''איחור],"&gt;0")</f>
        <v>0</v>
      </c>
      <c r="F80" s="96">
        <f ca="1">COUNTIFS(tbLate[שנה],'מידע לגרפים'!B80,tbLate[מס'' שבוע],'מידע לגרפים'!C80,tbLate[האם חור],"&gt;0")</f>
        <v>0</v>
      </c>
    </row>
    <row r="81" spans="1:6">
      <c r="A81" s="95">
        <v>46</v>
      </c>
      <c r="B81">
        <f t="shared" ca="1" si="15"/>
        <v>2023</v>
      </c>
      <c r="C81">
        <f t="shared" ca="1" si="16"/>
        <v>45</v>
      </c>
      <c r="D81" t="str">
        <f t="shared" ca="1" si="17"/>
        <v>45, 2023</v>
      </c>
      <c r="E81">
        <f ca="1">COUNTIFS(tbLate[שנה],'מידע לגרפים'!B81,tbLate[מס'' שבוע],'מידע לגרפים'!C81,tbLate[מס''דק''איחור],"&gt;0")</f>
        <v>0</v>
      </c>
      <c r="F81" s="96">
        <f ca="1">COUNTIFS(tbLate[שנה],'מידע לגרפים'!B81,tbLate[מס'' שבוע],'מידע לגרפים'!C81,tbLate[האם חור],"&gt;0")</f>
        <v>0</v>
      </c>
    </row>
    <row r="82" spans="1:6">
      <c r="A82" s="95">
        <v>47</v>
      </c>
      <c r="B82">
        <f t="shared" ca="1" si="15"/>
        <v>2023</v>
      </c>
      <c r="C82">
        <f t="shared" ca="1" si="16"/>
        <v>44</v>
      </c>
      <c r="D82" t="str">
        <f t="shared" ca="1" si="17"/>
        <v>44, 2023</v>
      </c>
      <c r="E82">
        <f ca="1">COUNTIFS(tbLate[שנה],'מידע לגרפים'!B82,tbLate[מס'' שבוע],'מידע לגרפים'!C82,tbLate[מס''דק''איחור],"&gt;0")</f>
        <v>0</v>
      </c>
      <c r="F82" s="96">
        <f ca="1">COUNTIFS(tbLate[שנה],'מידע לגרפים'!B82,tbLate[מס'' שבוע],'מידע לגרפים'!C82,tbLate[האם חור],"&gt;0")</f>
        <v>0</v>
      </c>
    </row>
    <row r="83" spans="1:6">
      <c r="A83" s="95">
        <v>48</v>
      </c>
      <c r="B83">
        <f t="shared" ca="1" si="15"/>
        <v>2023</v>
      </c>
      <c r="C83">
        <f t="shared" ca="1" si="16"/>
        <v>43</v>
      </c>
      <c r="D83" t="str">
        <f t="shared" ca="1" si="17"/>
        <v>43, 2023</v>
      </c>
      <c r="E83">
        <f ca="1">COUNTIFS(tbLate[שנה],'מידע לגרפים'!B83,tbLate[מס'' שבוע],'מידע לגרפים'!C83,tbLate[מס''דק''איחור],"&gt;0")</f>
        <v>0</v>
      </c>
      <c r="F83" s="96">
        <f ca="1">COUNTIFS(tbLate[שנה],'מידע לגרפים'!B83,tbLate[מס'' שבוע],'מידע לגרפים'!C83,tbLate[האם חור],"&gt;0")</f>
        <v>0</v>
      </c>
    </row>
    <row r="84" spans="1:6">
      <c r="A84" s="95">
        <v>49</v>
      </c>
      <c r="B84">
        <f t="shared" ca="1" si="15"/>
        <v>2023</v>
      </c>
      <c r="C84">
        <f t="shared" ca="1" si="16"/>
        <v>42</v>
      </c>
      <c r="D84" t="str">
        <f t="shared" ca="1" si="17"/>
        <v>42, 2023</v>
      </c>
      <c r="E84">
        <f ca="1">COUNTIFS(tbLate[שנה],'מידע לגרפים'!B84,tbLate[מס'' שבוע],'מידע לגרפים'!C84,tbLate[מס''דק''איחור],"&gt;0")</f>
        <v>0</v>
      </c>
      <c r="F84" s="96">
        <f ca="1">COUNTIFS(tbLate[שנה],'מידע לגרפים'!B84,tbLate[מס'' שבוע],'מידע לגרפים'!C84,tbLate[האם חור],"&gt;0")</f>
        <v>0</v>
      </c>
    </row>
    <row r="85" spans="1:6">
      <c r="A85" s="95">
        <v>50</v>
      </c>
      <c r="B85">
        <f t="shared" ca="1" si="15"/>
        <v>2023</v>
      </c>
      <c r="C85">
        <f t="shared" ca="1" si="16"/>
        <v>41</v>
      </c>
      <c r="D85" t="str">
        <f t="shared" ca="1" si="17"/>
        <v>41, 2023</v>
      </c>
      <c r="E85">
        <f ca="1">COUNTIFS(tbLate[שנה],'מידע לגרפים'!B85,tbLate[מס'' שבוע],'מידע לגרפים'!C85,tbLate[מס''דק''איחור],"&gt;0")</f>
        <v>0</v>
      </c>
      <c r="F85" s="96">
        <f ca="1">COUNTIFS(tbLate[שנה],'מידע לגרפים'!B85,tbLate[מס'' שבוע],'מידע לגרפים'!C85,tbLate[האם חור],"&gt;0")</f>
        <v>0</v>
      </c>
    </row>
    <row r="86" spans="1:6">
      <c r="A86" s="95">
        <v>51</v>
      </c>
      <c r="B86">
        <f t="shared" ca="1" si="15"/>
        <v>2023</v>
      </c>
      <c r="C86">
        <f t="shared" ca="1" si="16"/>
        <v>40</v>
      </c>
      <c r="D86" t="str">
        <f t="shared" ca="1" si="17"/>
        <v>40, 2023</v>
      </c>
      <c r="E86">
        <f ca="1">COUNTIFS(tbLate[שנה],'מידע לגרפים'!B86,tbLate[מס'' שבוע],'מידע לגרפים'!C86,tbLate[מס''דק''איחור],"&gt;0")</f>
        <v>0</v>
      </c>
      <c r="F86" s="96">
        <f ca="1">COUNTIFS(tbLate[שנה],'מידע לגרפים'!B86,tbLate[מס'' שבוע],'מידע לגרפים'!C86,tbLate[האם חור],"&gt;0")</f>
        <v>0</v>
      </c>
    </row>
    <row r="87" spans="1:6" ht="14.4" thickBot="1">
      <c r="A87" s="197">
        <v>52</v>
      </c>
      <c r="B87" s="198">
        <f t="shared" ca="1" si="15"/>
        <v>2023</v>
      </c>
      <c r="C87" s="198">
        <f t="shared" ref="C87" ca="1" si="20">WEEKNUM(TODAY() - A87*7)</f>
        <v>39</v>
      </c>
      <c r="D87" s="198" t="str">
        <f t="shared" ca="1" si="17"/>
        <v>39, 2023</v>
      </c>
      <c r="E87" s="198">
        <f ca="1">COUNTIFS(tbLate[שנה],'מידע לגרפים'!B87,tbLate[מס'' שבוע],'מידע לגרפים'!C87,tbLate[מס''דק''איחור],"&gt;0")</f>
        <v>0</v>
      </c>
      <c r="F87" s="200">
        <f ca="1">COUNTIFS(tbLate[שנה],'מידע לגרפים'!B87,tbLate[מס'' שבוע],'מידע לגרפים'!C87,tbLate[האם חור],"&gt;0")</f>
        <v>0</v>
      </c>
    </row>
  </sheetData>
  <sheetProtection algorithmName="SHA-512" hashValue="6RYN7dzo0TLdS/61mhAV6W7GVtt596EaBjNjeYEj8Kkq1apEk+usimbiX19fCriYCNitLY2XpBQTO9meYnHsyA==" saltValue="5YQFsFPj58YrHU6yPdw0zQ==" spinCount="100000" sheet="1" objects="1" scenarios="1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C8FBF-1FF2-48D7-A3AB-435E3D8D67C3}">
  <sheetPr codeName="גיליון8">
    <tabColor rgb="FFCC9900"/>
    <pageSetUpPr fitToPage="1"/>
  </sheetPr>
  <dimension ref="A1:BE87"/>
  <sheetViews>
    <sheetView rightToLeft="1" zoomScale="85" zoomScaleNormal="85" workbookViewId="0">
      <selection activeCell="C9" sqref="C9"/>
    </sheetView>
  </sheetViews>
  <sheetFormatPr defaultRowHeight="13.8"/>
  <cols>
    <col min="1" max="1" width="9.5" customWidth="1"/>
    <col min="2" max="2" width="12.19921875" customWidth="1"/>
    <col min="5" max="5" width="12.59765625" customWidth="1"/>
    <col min="7" max="7" width="12.69921875" customWidth="1"/>
    <col min="11" max="12" width="10.09765625" bestFit="1" customWidth="1"/>
    <col min="16" max="19" width="9.8984375" bestFit="1" customWidth="1"/>
    <col min="21" max="21" width="20.69921875" bestFit="1" customWidth="1"/>
    <col min="22" max="22" width="9.8984375" bestFit="1" customWidth="1"/>
    <col min="24" max="24" width="12.69921875" customWidth="1"/>
    <col min="25" max="25" width="11.59765625" customWidth="1"/>
    <col min="26" max="35" width="13" bestFit="1" customWidth="1"/>
    <col min="36" max="36" width="13" style="2" bestFit="1" customWidth="1"/>
    <col min="37" max="49" width="13" bestFit="1" customWidth="1"/>
    <col min="50" max="50" width="8.09765625" bestFit="1" customWidth="1"/>
    <col min="52" max="52" width="10.09765625" bestFit="1" customWidth="1"/>
    <col min="54" max="54" width="10.09765625" bestFit="1" customWidth="1"/>
  </cols>
  <sheetData>
    <row r="1" spans="1:57" ht="29.25" customHeight="1">
      <c r="A1" t="s">
        <v>77</v>
      </c>
      <c r="B1" s="281"/>
      <c r="C1" t="s">
        <v>78</v>
      </c>
      <c r="D1" s="281"/>
      <c r="E1" t="s">
        <v>79</v>
      </c>
      <c r="F1" s="281"/>
      <c r="G1" t="s">
        <v>80</v>
      </c>
      <c r="H1" s="281"/>
      <c r="I1" t="s">
        <v>60</v>
      </c>
      <c r="J1" s="281"/>
      <c r="K1" t="s">
        <v>141</v>
      </c>
      <c r="L1" t="s">
        <v>81</v>
      </c>
      <c r="M1" s="281"/>
      <c r="N1" t="s">
        <v>141</v>
      </c>
      <c r="O1" t="s">
        <v>82</v>
      </c>
      <c r="P1" s="41">
        <f ca="1">TODAY()</f>
        <v>45558</v>
      </c>
      <c r="Q1" s="79">
        <f ca="1">DATE(YEAR($P$1)-1,MONTH($P$1),DAY($P$1))</f>
        <v>45192</v>
      </c>
      <c r="R1" s="42">
        <f ca="1">DATE(YEAR($P$1),MONTH($P$1)-1,DAY($P$1))</f>
        <v>45527</v>
      </c>
      <c r="S1" t="s">
        <v>95</v>
      </c>
      <c r="T1" s="281"/>
      <c r="U1" t="s">
        <v>7</v>
      </c>
      <c r="V1" s="287"/>
      <c r="W1" s="285" t="s">
        <v>286</v>
      </c>
      <c r="Z1" s="298" t="s">
        <v>340</v>
      </c>
      <c r="AA1" s="32" t="str" cm="1">
        <f t="array" ref="AA1:AA48">_xlfn._xlws.SORT(_xlfn._xlws.FILTER(tbEmploDetails[שם מלא],tbEmploDetails[האם פעיל]='גיליון טכני'!$A$2,"---"))</f>
        <v>אבידן שירה</v>
      </c>
      <c r="AB1" s="312"/>
      <c r="AC1" s="283"/>
      <c r="AD1" t="s">
        <v>122</v>
      </c>
      <c r="AE1" t="s">
        <v>123</v>
      </c>
      <c r="AF1" t="s">
        <v>125</v>
      </c>
      <c r="AG1" s="299" t="s">
        <v>349</v>
      </c>
      <c r="AH1" s="262" t="str" cm="1">
        <f t="array" ref="AH1:AH7">_xlfn._xlws.SORT(_xlfn.UNIQUE(_xlfn._xlws.FILTER(tbLate[שם המאחר],tbLate[האם פעיל]="פעיל","--")))</f>
        <v>אלון עומר</v>
      </c>
      <c r="AI1" s="265" t="s">
        <v>682</v>
      </c>
      <c r="AJ1" s="263" t="str" cm="1">
        <f t="array" ref="AJ1">_xlfn._xlws.SORT(_xlfn.UNIQUE(_xlfn._xlws.FILTER(tbLate[תאריך],(tbLate[שם המאחר]='גיליון טכני'!AI1),"--"),1,-1),1,-1)</f>
        <v>--</v>
      </c>
      <c r="AK1" s="266" t="s">
        <v>682</v>
      </c>
      <c r="AL1" s="264" t="str" cm="1">
        <f t="array" ref="AL1">_xlfn._xlws.SORT(_xlfn.UNIQUE(_xlfn._xlws.FILTER(tbLate[משמרת],(tbLate[שם המאחר]='גיליון טכני'!AI1) * (tbLate[תאריך]='גיליון טכני'!AK1),"--"),1,-1))</f>
        <v>--</v>
      </c>
      <c r="AM1" s="267" t="s">
        <v>682</v>
      </c>
      <c r="BD1" s="369" t="s">
        <v>354</v>
      </c>
      <c r="BE1" t="str" cm="1">
        <f t="array" ref="BE1:BE69">clmnFullNamesFP</f>
        <v>כהן אורי</v>
      </c>
    </row>
    <row r="2" spans="1:57" ht="14.4" thickBot="1">
      <c r="A2" s="3" t="s">
        <v>35</v>
      </c>
      <c r="B2" s="281"/>
      <c r="C2" s="3" t="s">
        <v>38</v>
      </c>
      <c r="D2" s="281"/>
      <c r="E2" s="3" t="s">
        <v>40</v>
      </c>
      <c r="F2" s="281"/>
      <c r="G2" s="3" t="s">
        <v>42</v>
      </c>
      <c r="H2" s="281"/>
      <c r="I2" t="s">
        <v>44</v>
      </c>
      <c r="J2" s="281"/>
      <c r="K2">
        <v>0</v>
      </c>
      <c r="L2" t="s">
        <v>54</v>
      </c>
      <c r="M2" s="281"/>
      <c r="N2">
        <v>0</v>
      </c>
      <c r="O2" t="s">
        <v>142</v>
      </c>
      <c r="P2" s="76" t="s">
        <v>71</v>
      </c>
      <c r="Q2" s="77" t="s">
        <v>87</v>
      </c>
      <c r="R2" s="78" t="s">
        <v>161</v>
      </c>
      <c r="S2" t="s">
        <v>93</v>
      </c>
      <c r="T2" s="281"/>
      <c r="U2" t="s">
        <v>272</v>
      </c>
      <c r="V2" s="287"/>
      <c r="W2" s="286"/>
      <c r="AA2" t="str">
        <v>אורן עומר</v>
      </c>
      <c r="AC2" s="283"/>
      <c r="AD2">
        <v>1</v>
      </c>
      <c r="AE2" t="s">
        <v>124</v>
      </c>
      <c r="AF2" t="s">
        <v>132</v>
      </c>
      <c r="AG2" s="331"/>
      <c r="AH2" s="332" t="str">
        <v>אלוני רועי</v>
      </c>
      <c r="AJ2" s="330"/>
      <c r="AL2" s="332"/>
      <c r="BD2" s="369"/>
      <c r="BE2" t="str">
        <v>לוי דניאל</v>
      </c>
    </row>
    <row r="3" spans="1:57">
      <c r="A3" s="4" t="s">
        <v>36</v>
      </c>
      <c r="B3" s="281"/>
      <c r="C3" s="4" t="s">
        <v>59</v>
      </c>
      <c r="D3" s="281"/>
      <c r="E3" s="4" t="s">
        <v>41</v>
      </c>
      <c r="F3" s="281"/>
      <c r="G3" s="4" t="s">
        <v>43</v>
      </c>
      <c r="H3" s="281"/>
      <c r="I3" t="s">
        <v>101</v>
      </c>
      <c r="J3" s="281"/>
      <c r="K3">
        <v>5</v>
      </c>
      <c r="L3" t="s">
        <v>55</v>
      </c>
      <c r="M3" s="281"/>
      <c r="N3">
        <v>5</v>
      </c>
      <c r="O3" t="s">
        <v>230</v>
      </c>
      <c r="P3" s="41">
        <f ca="1">DATE(YEAR($P$1),MONTH($P$1),DAY($P$1)-7)</f>
        <v>45551</v>
      </c>
      <c r="Q3" s="281"/>
      <c r="R3" s="110">
        <f ca="1">DATE(YEAR($P$1),MONTH($P$1)-2,DAY($P$1))</f>
        <v>45496</v>
      </c>
      <c r="S3" t="s">
        <v>96</v>
      </c>
      <c r="T3" s="281"/>
      <c r="U3" t="s">
        <v>120</v>
      </c>
      <c r="V3" s="287"/>
      <c r="AA3" t="str">
        <v>אלון עומר</v>
      </c>
      <c r="AC3" s="283"/>
      <c r="AD3">
        <v>2</v>
      </c>
      <c r="AE3" t="s">
        <v>126</v>
      </c>
      <c r="AF3" t="s">
        <v>133</v>
      </c>
      <c r="AG3" s="281"/>
      <c r="AH3" s="332" t="str">
        <v>בלום גיל</v>
      </c>
      <c r="AJ3" s="330"/>
      <c r="AL3" s="332"/>
      <c r="BD3" s="369"/>
      <c r="BE3" t="str">
        <v>שפירא יונתן</v>
      </c>
    </row>
    <row r="4" spans="1:57" ht="18" thickBot="1">
      <c r="A4" s="281"/>
      <c r="B4" s="281"/>
      <c r="C4" s="4" t="s">
        <v>73</v>
      </c>
      <c r="D4" s="281"/>
      <c r="E4" s="281"/>
      <c r="F4" s="281"/>
      <c r="G4" s="281"/>
      <c r="H4" s="281"/>
      <c r="I4" t="s">
        <v>45</v>
      </c>
      <c r="J4" s="281"/>
      <c r="K4">
        <v>10</v>
      </c>
      <c r="L4" t="s">
        <v>56</v>
      </c>
      <c r="M4" s="281"/>
      <c r="N4">
        <v>10</v>
      </c>
      <c r="O4" t="s">
        <v>285</v>
      </c>
      <c r="P4" s="76" t="s">
        <v>366</v>
      </c>
      <c r="Q4" s="281"/>
      <c r="R4" s="111" t="s">
        <v>198</v>
      </c>
      <c r="S4" t="s">
        <v>97</v>
      </c>
      <c r="T4" s="281"/>
      <c r="U4" s="313" t="s">
        <v>352</v>
      </c>
      <c r="V4" s="287"/>
      <c r="AA4" t="str">
        <v>אלוני רועי</v>
      </c>
      <c r="AC4" s="283"/>
      <c r="AD4">
        <v>3</v>
      </c>
      <c r="AE4" t="s">
        <v>127</v>
      </c>
      <c r="AF4" t="s">
        <v>134</v>
      </c>
      <c r="AG4" s="281"/>
      <c r="AH4" s="332" t="str">
        <v>בן דוד מאיה</v>
      </c>
      <c r="AJ4" s="330"/>
      <c r="AL4" s="332"/>
      <c r="BD4" s="369"/>
      <c r="BE4" t="str">
        <v>בן דוד מאיה</v>
      </c>
    </row>
    <row r="5" spans="1:57">
      <c r="A5" s="281"/>
      <c r="B5" s="281"/>
      <c r="C5" s="281"/>
      <c r="D5" s="281"/>
      <c r="E5" s="281"/>
      <c r="F5" s="281"/>
      <c r="G5" s="281"/>
      <c r="H5" s="281"/>
      <c r="I5" t="s">
        <v>46</v>
      </c>
      <c r="J5" s="281"/>
      <c r="K5" t="s">
        <v>57</v>
      </c>
      <c r="L5" t="s">
        <v>57</v>
      </c>
      <c r="M5" s="281"/>
      <c r="N5" t="s">
        <v>58</v>
      </c>
      <c r="O5" t="s">
        <v>58</v>
      </c>
      <c r="P5" s="281"/>
      <c r="Q5" s="281"/>
      <c r="R5" s="281"/>
      <c r="S5" t="s">
        <v>98</v>
      </c>
      <c r="T5" s="281"/>
      <c r="U5" s="281"/>
      <c r="V5" s="288"/>
      <c r="AA5" t="str">
        <v>בלום גיל</v>
      </c>
      <c r="AC5" s="283"/>
      <c r="AD5">
        <v>4</v>
      </c>
      <c r="AE5" t="s">
        <v>128</v>
      </c>
      <c r="AF5" t="s">
        <v>135</v>
      </c>
      <c r="AG5" s="281"/>
      <c r="AH5" s="332" t="str">
        <v>הראל דניאל</v>
      </c>
      <c r="AJ5" s="330"/>
      <c r="AL5" s="332"/>
      <c r="BD5" s="369"/>
      <c r="BE5" t="str">
        <v>רוזן נעם</v>
      </c>
    </row>
    <row r="6" spans="1:57">
      <c r="A6" s="281"/>
      <c r="B6" s="281"/>
      <c r="C6" s="281"/>
      <c r="D6" s="281"/>
      <c r="E6" s="281"/>
      <c r="F6" s="281"/>
      <c r="G6" s="281"/>
      <c r="H6" s="281"/>
      <c r="I6" t="s">
        <v>47</v>
      </c>
      <c r="J6" s="281"/>
      <c r="K6" s="281"/>
      <c r="L6" s="281"/>
      <c r="M6" s="281"/>
      <c r="N6" s="281"/>
      <c r="O6" s="281"/>
      <c r="P6" s="281"/>
      <c r="Q6" s="281"/>
      <c r="R6" s="281"/>
      <c r="S6" t="s">
        <v>99</v>
      </c>
      <c r="T6" s="281"/>
      <c r="U6" s="287"/>
      <c r="AA6" t="str">
        <v>בן ארי יעל</v>
      </c>
      <c r="AC6" s="283"/>
      <c r="AD6">
        <v>5</v>
      </c>
      <c r="AE6" t="s">
        <v>129</v>
      </c>
      <c r="AF6" t="s">
        <v>136</v>
      </c>
      <c r="AG6" s="281"/>
      <c r="AH6" s="332" t="str">
        <v>זילברמן איתי</v>
      </c>
      <c r="AJ6" s="330"/>
      <c r="AL6" s="332"/>
      <c r="BD6" s="369"/>
      <c r="BE6" t="str">
        <v>מזרחי יעל</v>
      </c>
    </row>
    <row r="7" spans="1:57" ht="17.399999999999999">
      <c r="A7" s="281"/>
      <c r="B7" s="281"/>
      <c r="C7" s="281"/>
      <c r="D7" s="313" t="s">
        <v>352</v>
      </c>
      <c r="E7" s="281"/>
      <c r="F7" s="281"/>
      <c r="G7" s="281"/>
      <c r="H7" s="281"/>
      <c r="I7" t="s">
        <v>48</v>
      </c>
      <c r="J7" s="281"/>
      <c r="K7" s="281"/>
      <c r="L7" s="281"/>
      <c r="M7" s="281"/>
      <c r="N7" s="281"/>
      <c r="O7" s="313" t="s">
        <v>352</v>
      </c>
      <c r="P7" s="281"/>
      <c r="Q7" s="281"/>
      <c r="R7" s="281"/>
      <c r="S7" t="s">
        <v>51</v>
      </c>
      <c r="T7" s="281"/>
      <c r="U7" s="288"/>
      <c r="AA7" t="str">
        <v>בן דוד מאיה</v>
      </c>
      <c r="AC7" s="283"/>
      <c r="AD7">
        <v>6</v>
      </c>
      <c r="AE7" t="s">
        <v>130</v>
      </c>
      <c r="AF7" t="s">
        <v>137</v>
      </c>
      <c r="AG7" s="281"/>
      <c r="AH7" s="332" t="str">
        <v>נחשון דנה</v>
      </c>
      <c r="AJ7" s="330"/>
      <c r="AL7" s="332"/>
      <c r="BD7" s="369"/>
      <c r="BE7" t="str">
        <v>גרין איתי</v>
      </c>
    </row>
    <row r="8" spans="1:57" ht="14.4" thickBot="1">
      <c r="A8" s="281"/>
      <c r="B8" s="281"/>
      <c r="C8" s="281"/>
      <c r="D8" s="281"/>
      <c r="E8" s="281"/>
      <c r="F8" s="281"/>
      <c r="G8" s="281"/>
      <c r="H8" s="281"/>
      <c r="I8" t="s">
        <v>49</v>
      </c>
      <c r="J8" s="281"/>
      <c r="K8" s="281"/>
      <c r="L8" s="281"/>
      <c r="M8" s="281"/>
      <c r="N8" s="281"/>
      <c r="O8" s="281"/>
      <c r="P8" s="281"/>
      <c r="Q8" s="281"/>
      <c r="R8" s="281"/>
      <c r="S8" t="s">
        <v>338</v>
      </c>
      <c r="T8" s="287"/>
      <c r="AA8" t="str">
        <v>ברגר סיוון</v>
      </c>
      <c r="AC8" s="283"/>
      <c r="AD8">
        <v>7</v>
      </c>
      <c r="AE8" t="s">
        <v>131</v>
      </c>
      <c r="AF8" t="s">
        <v>138</v>
      </c>
      <c r="AG8" s="281"/>
      <c r="AH8" s="332"/>
      <c r="AJ8" s="330"/>
      <c r="AL8" s="333"/>
      <c r="BD8" s="369"/>
      <c r="BE8" t="str">
        <v>פרידמן רונית</v>
      </c>
    </row>
    <row r="9" spans="1:57" ht="17.399999999999999">
      <c r="A9" s="281"/>
      <c r="B9" s="281"/>
      <c r="C9" s="281"/>
      <c r="D9" s="281"/>
      <c r="E9" s="281"/>
      <c r="F9" s="281"/>
      <c r="G9" s="281"/>
      <c r="H9" s="281"/>
      <c r="I9" t="s">
        <v>50</v>
      </c>
      <c r="J9" s="281"/>
      <c r="K9" t="s">
        <v>193</v>
      </c>
      <c r="L9" s="281"/>
      <c r="M9" s="281"/>
      <c r="N9" s="281"/>
      <c r="O9" s="282"/>
      <c r="P9" s="282"/>
      <c r="Q9" s="282"/>
      <c r="R9" s="282"/>
      <c r="S9" s="282"/>
      <c r="T9" s="288"/>
      <c r="AA9" t="str">
        <v>ברונר ניב</v>
      </c>
      <c r="AC9" s="284"/>
      <c r="AD9" s="314" t="s">
        <v>352</v>
      </c>
      <c r="AE9" s="282"/>
      <c r="AF9" s="282"/>
      <c r="AG9" s="282"/>
      <c r="AH9" s="332"/>
      <c r="AJ9" s="330"/>
      <c r="AL9" s="326" t="s">
        <v>350</v>
      </c>
      <c r="AM9" s="301"/>
      <c r="AN9" s="301"/>
      <c r="AO9" s="301"/>
      <c r="AP9" s="301"/>
      <c r="AQ9" s="301"/>
      <c r="AR9" s="301"/>
      <c r="AS9" s="301"/>
      <c r="AT9" s="301"/>
      <c r="AU9" s="301"/>
      <c r="AV9" s="301"/>
      <c r="AW9" s="301"/>
      <c r="AX9" s="301"/>
      <c r="AY9" s="301"/>
      <c r="AZ9" s="302"/>
      <c r="BD9" s="369"/>
      <c r="BE9" t="str">
        <v>ברק אילן</v>
      </c>
    </row>
    <row r="10" spans="1:57">
      <c r="A10" s="281"/>
      <c r="B10" s="281"/>
      <c r="C10" s="281"/>
      <c r="D10" s="281"/>
      <c r="E10" s="281"/>
      <c r="F10" s="281"/>
      <c r="G10" s="281"/>
      <c r="H10" s="281"/>
      <c r="I10" t="s">
        <v>51</v>
      </c>
      <c r="J10" s="281"/>
      <c r="K10" t="s">
        <v>183</v>
      </c>
      <c r="L10" s="281"/>
      <c r="M10" s="281"/>
      <c r="N10" s="287"/>
      <c r="AA10" t="str">
        <v>ברוש עידן</v>
      </c>
      <c r="AH10" s="332"/>
      <c r="AJ10" s="330"/>
      <c r="AL10" s="303" t="s">
        <v>18</v>
      </c>
      <c r="AM10" s="300" t="s">
        <v>231</v>
      </c>
      <c r="AN10" s="300" t="s">
        <v>121</v>
      </c>
      <c r="AO10" s="300" t="s">
        <v>24</v>
      </c>
      <c r="AP10" s="300" t="s">
        <v>25</v>
      </c>
      <c r="AQ10" s="300" t="s">
        <v>103</v>
      </c>
      <c r="AR10" s="300" t="s">
        <v>102</v>
      </c>
      <c r="AS10" s="300" t="s">
        <v>104</v>
      </c>
      <c r="AT10" s="300" t="s">
        <v>22</v>
      </c>
      <c r="AU10" s="300" t="s">
        <v>335</v>
      </c>
      <c r="AV10" s="300" t="s">
        <v>305</v>
      </c>
      <c r="AW10" s="300" t="s">
        <v>304</v>
      </c>
      <c r="AX10" s="300" t="s">
        <v>303</v>
      </c>
      <c r="AY10" s="300" t="s">
        <v>6</v>
      </c>
      <c r="AZ10" s="304" t="s">
        <v>341</v>
      </c>
      <c r="BD10" s="369"/>
      <c r="BE10" t="str">
        <v>גולדשטיין יאיר</v>
      </c>
    </row>
    <row r="11" spans="1:57" ht="14.4" thickBot="1">
      <c r="A11" s="282"/>
      <c r="B11" s="282"/>
      <c r="C11" s="282"/>
      <c r="D11" s="282"/>
      <c r="E11" s="282"/>
      <c r="F11" s="282"/>
      <c r="G11" s="282"/>
      <c r="H11" s="281"/>
      <c r="I11" s="281"/>
      <c r="J11" s="281"/>
      <c r="K11" t="s">
        <v>276</v>
      </c>
      <c r="L11" s="281"/>
      <c r="M11" s="281"/>
      <c r="N11" s="288"/>
      <c r="AA11" t="str">
        <v>ברק רותם</v>
      </c>
      <c r="AH11" s="332"/>
      <c r="AJ11" s="330"/>
      <c r="AL11" s="315" t="str" cm="1">
        <f t="array" ref="AL11">_xlfn._xlws.FILTER(INDEX(tbLate[],_xlfn.SEQUENCE(ROWS(tbLate[])),{1,2,3,4,5,6,7,8,9,10,11,12,13,14,15}),(tbLate[תאריך] = 'גיליון טכני'!AK1) * (tbLate[שם המאחר] = 'גיליון טכני'!AI1) * (tbLate[משמרת] = 'גיליון טכני'!AM1),"שגיאה")</f>
        <v>שגיאה</v>
      </c>
      <c r="AM11" s="305"/>
      <c r="AN11" s="305"/>
      <c r="AO11" s="305"/>
      <c r="AP11" s="305"/>
      <c r="AQ11" s="305"/>
      <c r="AR11" s="305"/>
      <c r="AS11" s="305"/>
      <c r="AT11" s="305"/>
      <c r="AU11" s="305"/>
      <c r="AV11" s="305"/>
      <c r="AW11" s="305"/>
      <c r="AX11" s="305"/>
      <c r="AY11" s="305"/>
      <c r="AZ11" s="306"/>
      <c r="BD11" s="369"/>
      <c r="BE11" t="str">
        <v>רובין תמר</v>
      </c>
    </row>
    <row r="12" spans="1:57" ht="14.4" thickBot="1">
      <c r="A12" s="289"/>
      <c r="B12" s="290"/>
      <c r="C12" s="290"/>
      <c r="D12" s="290"/>
      <c r="E12" s="290"/>
      <c r="F12" s="291"/>
      <c r="H12" s="283"/>
      <c r="I12" s="281"/>
      <c r="J12" s="281"/>
      <c r="K12" t="s">
        <v>184</v>
      </c>
      <c r="L12" s="281"/>
      <c r="M12" s="288"/>
      <c r="AA12" t="str">
        <v>גבאי אלון</v>
      </c>
      <c r="AH12" s="332"/>
      <c r="AJ12" s="330"/>
      <c r="BD12" s="369"/>
      <c r="BE12" t="str">
        <v>רז אלעד</v>
      </c>
    </row>
    <row r="13" spans="1:57" ht="17.399999999999999">
      <c r="A13" s="292"/>
      <c r="B13" s="99" t="s">
        <v>173</v>
      </c>
      <c r="C13" s="97"/>
      <c r="D13" s="97"/>
      <c r="E13" s="98"/>
      <c r="F13" s="293"/>
      <c r="H13" s="313" t="s">
        <v>352</v>
      </c>
      <c r="I13" s="281"/>
      <c r="J13" s="281"/>
      <c r="K13" t="s">
        <v>185</v>
      </c>
      <c r="L13" s="287"/>
      <c r="U13" s="178" t="s">
        <v>293</v>
      </c>
      <c r="AA13" t="str">
        <v>גולדשטיין יאיר</v>
      </c>
      <c r="AH13" s="332"/>
      <c r="AJ13" s="330"/>
      <c r="BD13" s="369"/>
      <c r="BE13" t="str">
        <v>שמש מיכל</v>
      </c>
    </row>
    <row r="14" spans="1:57" ht="27.6">
      <c r="A14" s="292"/>
      <c r="B14" s="100" t="s">
        <v>176</v>
      </c>
      <c r="E14" s="96"/>
      <c r="F14" s="293"/>
      <c r="H14" s="284"/>
      <c r="I14" s="281"/>
      <c r="J14" s="281"/>
      <c r="K14" t="s">
        <v>186</v>
      </c>
      <c r="L14" s="287"/>
      <c r="Q14" t="s">
        <v>292</v>
      </c>
      <c r="U14" s="17" t="s">
        <v>74</v>
      </c>
      <c r="V14" s="156" t="str" cm="1">
        <f t="array" ref="V14:W14">_xlfn._xlws.FILTER(INDEX(tbEmploDetails[],_xlfn.SEQUENCE(ROWS(tbEmploDetails[])),{17,18}),tbEmploDetails[שם מלא]=NameSearchCell,lsOptTest_2)</f>
        <v>נכשל</v>
      </c>
      <c r="W14" s="157">
        <v>1</v>
      </c>
      <c r="AA14" t="str">
        <v>גל יובל</v>
      </c>
      <c r="AH14" s="332"/>
      <c r="AJ14" s="330"/>
      <c r="BD14" s="369"/>
      <c r="BE14" t="str">
        <v>שדה ליאור</v>
      </c>
    </row>
    <row r="15" spans="1:57">
      <c r="A15" s="292"/>
      <c r="B15" s="101" t="s">
        <v>179</v>
      </c>
      <c r="E15" s="96"/>
      <c r="F15" s="293"/>
      <c r="I15" s="283"/>
      <c r="J15" s="281"/>
      <c r="K15" t="s">
        <v>187</v>
      </c>
      <c r="L15" s="287"/>
      <c r="U15" s="19" t="s">
        <v>75</v>
      </c>
      <c r="V15" s="20" t="str">
        <f>IF(V14=lsOptTest_0,_xlfn.MAXIFS(tbShetchExam[תאריך],tbShetchExam[נבחן],NameSearchCell,tbShetchExam[תוצאה],lsOptTest_0),"")</f>
        <v/>
      </c>
      <c r="W15" s="5"/>
      <c r="AA15" t="str">
        <v>גרין איתי</v>
      </c>
      <c r="AH15" s="332"/>
      <c r="AJ15" s="330"/>
      <c r="AK15" s="329"/>
      <c r="AL15" s="318" t="s">
        <v>353</v>
      </c>
      <c r="AM15" s="319"/>
      <c r="AN15" s="320" t="s">
        <v>140</v>
      </c>
      <c r="AO15" s="324" t="s">
        <v>683</v>
      </c>
      <c r="AP15" s="321"/>
      <c r="AQ15" s="322"/>
      <c r="AR15" s="322"/>
      <c r="AS15" s="322"/>
      <c r="AT15" s="322"/>
      <c r="AU15" s="322"/>
      <c r="AV15" s="322"/>
      <c r="AW15" s="322"/>
      <c r="AX15" s="322"/>
      <c r="AY15" s="322"/>
      <c r="AZ15" s="322"/>
      <c r="BA15" s="322"/>
      <c r="BB15" s="322"/>
      <c r="BC15" s="322"/>
      <c r="BD15" s="319"/>
      <c r="BE15" t="str">
        <v>לביא יונתן</v>
      </c>
    </row>
    <row r="16" spans="1:57" ht="41.4">
      <c r="A16" s="292"/>
      <c r="B16" s="294" t="s">
        <v>177</v>
      </c>
      <c r="D16" t="s">
        <v>174</v>
      </c>
      <c r="E16" s="96"/>
      <c r="F16" s="293"/>
      <c r="I16" s="284"/>
      <c r="J16" s="281"/>
      <c r="K16" t="s">
        <v>188</v>
      </c>
      <c r="L16" s="287"/>
      <c r="U16" s="21" t="s">
        <v>76</v>
      </c>
      <c r="V16" s="158" t="e">
        <f>_xlfn.CONCAT(U25:W25)</f>
        <v>#VALUE!</v>
      </c>
      <c r="W16" s="159" t="s">
        <v>178</v>
      </c>
      <c r="AA16" t="str">
        <v>דיין טל</v>
      </c>
      <c r="AH16" s="332"/>
      <c r="AJ16" s="330"/>
      <c r="AK16" s="329" t="s">
        <v>341</v>
      </c>
      <c r="AL16" s="323" t="s">
        <v>0</v>
      </c>
      <c r="AM16" s="323" t="s">
        <v>1</v>
      </c>
      <c r="AN16" s="323" t="s">
        <v>2</v>
      </c>
      <c r="AO16" s="323" t="s">
        <v>3</v>
      </c>
      <c r="AP16" s="323" t="s">
        <v>170</v>
      </c>
      <c r="AQ16" s="323" t="s">
        <v>5</v>
      </c>
      <c r="AR16" s="323" t="s">
        <v>6</v>
      </c>
      <c r="AS16" s="323" t="s">
        <v>117</v>
      </c>
      <c r="AT16" s="323" t="s">
        <v>118</v>
      </c>
      <c r="AU16" s="323" t="s">
        <v>10</v>
      </c>
      <c r="AV16" s="323" t="s">
        <v>7</v>
      </c>
      <c r="AW16" s="323" t="s">
        <v>8</v>
      </c>
      <c r="AX16" s="323" t="s">
        <v>9</v>
      </c>
      <c r="AY16" s="323" t="s">
        <v>94</v>
      </c>
      <c r="AZ16" s="323" t="s">
        <v>11</v>
      </c>
      <c r="BA16" s="323" t="s">
        <v>357</v>
      </c>
      <c r="BB16" s="323" t="s">
        <v>358</v>
      </c>
      <c r="BC16" s="323" t="s">
        <v>362</v>
      </c>
      <c r="BD16" s="323" t="s">
        <v>363</v>
      </c>
      <c r="BE16" t="str">
        <v>ברגר סיוון</v>
      </c>
    </row>
    <row r="17" spans="1:57">
      <c r="A17" s="292"/>
      <c r="B17" t="s">
        <v>175</v>
      </c>
      <c r="D17" s="53" t="s">
        <v>175</v>
      </c>
      <c r="E17" s="96"/>
      <c r="F17" s="293"/>
      <c r="J17" s="283"/>
      <c r="K17" t="s">
        <v>189</v>
      </c>
      <c r="L17" s="287"/>
      <c r="S17" t="s">
        <v>203</v>
      </c>
      <c r="T17" t="s">
        <v>202</v>
      </c>
      <c r="U17" s="160" t="e">
        <f>YEARFRAC(V15,TodayCell)</f>
        <v>#VALUE!</v>
      </c>
      <c r="V17" s="161" t="s">
        <v>169</v>
      </c>
      <c r="W17" s="18"/>
      <c r="AA17" t="str">
        <v>דקל יעל</v>
      </c>
      <c r="AH17" s="332"/>
      <c r="AJ17" s="330"/>
      <c r="AK17" s="319">
        <v>42</v>
      </c>
      <c r="AL17" s="316">
        <v>1</v>
      </c>
      <c r="AM17" s="316">
        <v>2</v>
      </c>
      <c r="AN17" s="316">
        <v>4</v>
      </c>
      <c r="AO17" s="334">
        <v>5</v>
      </c>
      <c r="AP17" s="334">
        <v>6</v>
      </c>
      <c r="AQ17" s="334">
        <v>8</v>
      </c>
      <c r="AR17" s="334">
        <v>9</v>
      </c>
      <c r="AS17" s="316">
        <v>10</v>
      </c>
      <c r="AT17" s="316">
        <v>11</v>
      </c>
      <c r="AU17" s="316">
        <v>13</v>
      </c>
      <c r="AV17" s="334">
        <v>16</v>
      </c>
      <c r="AW17" s="334">
        <v>19</v>
      </c>
      <c r="AX17" s="334">
        <v>20</v>
      </c>
      <c r="AY17" s="334">
        <v>21</v>
      </c>
      <c r="AZ17" s="316">
        <v>22</v>
      </c>
      <c r="BA17" s="335">
        <v>38</v>
      </c>
      <c r="BB17" s="335">
        <v>39</v>
      </c>
      <c r="BC17" s="323">
        <v>40</v>
      </c>
      <c r="BD17" s="323">
        <v>41</v>
      </c>
      <c r="BE17" t="str">
        <v>רוזנבלום טל</v>
      </c>
    </row>
    <row r="18" spans="1:57">
      <c r="A18" s="292"/>
      <c r="B18" t="s">
        <v>319</v>
      </c>
      <c r="E18" s="96"/>
      <c r="F18" s="293"/>
      <c r="J18" s="283"/>
      <c r="K18" t="s">
        <v>190</v>
      </c>
      <c r="L18" s="287"/>
      <c r="S18" s="34" t="s">
        <v>215</v>
      </c>
      <c r="T18" t="s">
        <v>213</v>
      </c>
      <c r="U18" s="162">
        <f>1/365</f>
        <v>2.7397260273972603E-3</v>
      </c>
      <c r="V18" s="163" t="s">
        <v>162</v>
      </c>
      <c r="W18" s="164"/>
      <c r="AA18" t="str">
        <v>דרורי יונתן</v>
      </c>
      <c r="AH18" s="332"/>
      <c r="AJ18" s="330"/>
      <c r="AK18" s="319" cm="1">
        <f t="array" ref="AK18:BD18">_xlfn._xlws.FILTER(INDEX(tbEmploDetails[],_xlfn.SEQUENCE(ROWS(tbEmploDetails[])),{42,1,2,4,5,6,8,9,10,11,13,16,19,20,21,22,38,39,40,41}),tbEmploDetails[שם מלא]='גיליון טכני'!$AO$15,"שגיאה")</f>
        <v>4</v>
      </c>
      <c r="AL18" s="316" t="str">
        <v>שפירא</v>
      </c>
      <c r="AM18" s="316" t="str">
        <v>יונתן</v>
      </c>
      <c r="AN18" s="325" t="str">
        <v>3-5678901-2</v>
      </c>
      <c r="AO18" s="316" t="str">
        <v>052-9876543</v>
      </c>
      <c r="AP18" s="316" t="str">
        <v>yshapira@example.com</v>
      </c>
      <c r="AQ18" s="316" t="str">
        <v xml:space="preserve"> ירושלים</v>
      </c>
      <c r="AR18" s="316" t="str">
        <v>פעיל</v>
      </c>
      <c r="AS18" s="316">
        <v>0</v>
      </c>
      <c r="AT18" s="316">
        <v>0</v>
      </c>
      <c r="AU18" s="317">
        <v>42802</v>
      </c>
      <c r="AV18" s="316" t="str">
        <v>לא חובש</v>
      </c>
      <c r="AW18" s="317" t="str">
        <v>מוסמך</v>
      </c>
      <c r="AX18" s="316" t="str">
        <v>מורשה</v>
      </c>
      <c r="AY18" s="316" t="str">
        <v>מאבטח</v>
      </c>
      <c r="AZ18" s="317">
        <v>45364</v>
      </c>
      <c r="BA18" s="316" t="str">
        <v>אלנבי</v>
      </c>
      <c r="BB18" s="316">
        <v>24</v>
      </c>
      <c r="BC18" s="316">
        <v>0</v>
      </c>
      <c r="BD18" s="316">
        <v>0</v>
      </c>
      <c r="BE18" t="str">
        <v>הורוביץ יואב</v>
      </c>
    </row>
    <row r="19" spans="1:57">
      <c r="A19" s="292"/>
      <c r="B19" t="s">
        <v>320</v>
      </c>
      <c r="E19" s="96"/>
      <c r="F19" s="293"/>
      <c r="J19" s="283"/>
      <c r="K19" t="s">
        <v>191</v>
      </c>
      <c r="L19" s="287"/>
      <c r="S19" s="108" t="s">
        <v>216</v>
      </c>
      <c r="T19" t="s">
        <v>214</v>
      </c>
      <c r="U19" s="19">
        <f>1/52</f>
        <v>1.9230769230769232E-2</v>
      </c>
      <c r="V19" s="165" t="s">
        <v>163</v>
      </c>
      <c r="W19" s="164"/>
      <c r="AA19" t="str">
        <v>הורוביץ יואב</v>
      </c>
      <c r="AH19" s="332"/>
      <c r="AJ19" s="330"/>
      <c r="AL19">
        <v>1</v>
      </c>
      <c r="AM19">
        <v>2</v>
      </c>
      <c r="AN19">
        <v>3</v>
      </c>
      <c r="AO19" s="50">
        <v>4</v>
      </c>
      <c r="AP19" s="50">
        <v>5</v>
      </c>
      <c r="AQ19" s="50">
        <v>6</v>
      </c>
      <c r="AR19" s="50">
        <v>7</v>
      </c>
      <c r="AS19">
        <v>8</v>
      </c>
      <c r="AT19">
        <v>9</v>
      </c>
      <c r="AU19">
        <v>10</v>
      </c>
      <c r="AV19" s="50">
        <v>11</v>
      </c>
      <c r="AW19" s="50">
        <v>12</v>
      </c>
      <c r="AX19" s="50">
        <v>13</v>
      </c>
      <c r="AY19" s="50">
        <v>14</v>
      </c>
      <c r="AZ19">
        <v>15</v>
      </c>
      <c r="BA19" s="50">
        <v>16</v>
      </c>
      <c r="BB19" s="50">
        <v>17</v>
      </c>
      <c r="BC19">
        <v>18</v>
      </c>
      <c r="BD19">
        <v>19</v>
      </c>
      <c r="BE19" t="str">
        <v>ניצן רותם</v>
      </c>
    </row>
    <row r="20" spans="1:57">
      <c r="A20" s="292"/>
      <c r="B20" t="s">
        <v>321</v>
      </c>
      <c r="E20" s="96"/>
      <c r="F20" s="293"/>
      <c r="J20" s="283"/>
      <c r="K20" t="s">
        <v>192</v>
      </c>
      <c r="L20" s="287"/>
      <c r="S20" s="109" t="s">
        <v>211</v>
      </c>
      <c r="T20" t="s">
        <v>210</v>
      </c>
      <c r="U20" s="19">
        <f>1/12</f>
        <v>8.3333333333333329E-2</v>
      </c>
      <c r="V20" s="165" t="s">
        <v>164</v>
      </c>
      <c r="W20" s="164"/>
      <c r="AA20" t="str">
        <v>הראל דניאל</v>
      </c>
      <c r="AH20" s="332"/>
      <c r="AJ20" s="330"/>
      <c r="BE20" t="str">
        <v>קפלן רונית</v>
      </c>
    </row>
    <row r="21" spans="1:57">
      <c r="A21" s="292"/>
      <c r="B21" s="57"/>
      <c r="C21" s="57"/>
      <c r="D21" s="57"/>
      <c r="E21" s="57"/>
      <c r="F21" s="293"/>
      <c r="J21" s="283"/>
      <c r="K21" t="s">
        <v>51</v>
      </c>
      <c r="L21" s="287"/>
      <c r="S21" t="s">
        <v>223</v>
      </c>
      <c r="T21" t="s">
        <v>209</v>
      </c>
      <c r="U21" s="162" t="str">
        <f>IFERROR(ROUNDDOWN(MOD(U17/U18,30),0),"e")</f>
        <v>e</v>
      </c>
      <c r="V21" s="166" t="s">
        <v>165</v>
      </c>
      <c r="W21" s="167" t="e">
        <f t="shared" ref="W21:W23" si="0">IF(U21,U21&amp;" "&amp;V21,"")</f>
        <v>#VALUE!</v>
      </c>
      <c r="AA21" t="str">
        <v>הררי יוני</v>
      </c>
      <c r="AC21" s="308" t="s">
        <v>351</v>
      </c>
      <c r="AD21" s="307"/>
      <c r="AE21" s="307"/>
      <c r="AF21" s="307"/>
      <c r="AH21" s="332"/>
      <c r="AJ21" s="330"/>
      <c r="BE21" t="str">
        <v>שרון גלי</v>
      </c>
    </row>
    <row r="22" spans="1:57">
      <c r="A22" s="295"/>
      <c r="B22" s="296"/>
      <c r="C22" s="296"/>
      <c r="D22" s="296"/>
      <c r="E22" s="296"/>
      <c r="F22" s="297"/>
      <c r="J22" s="284"/>
      <c r="K22" s="282"/>
      <c r="L22" s="288"/>
      <c r="S22" t="s">
        <v>224</v>
      </c>
      <c r="T22" t="s">
        <v>220</v>
      </c>
      <c r="U22" s="168" t="str">
        <f>IFERROR(ROUNDDOWN(MOD(U17/U19,52),0),"e")</f>
        <v>e</v>
      </c>
      <c r="V22" s="169" t="s">
        <v>166</v>
      </c>
      <c r="W22" s="170" t="e">
        <f t="shared" si="0"/>
        <v>#VALUE!</v>
      </c>
      <c r="AA22" t="str">
        <v>זילברמן איתי</v>
      </c>
      <c r="AC22" s="307"/>
      <c r="AD22" s="307"/>
      <c r="AE22" s="307"/>
      <c r="AF22" s="307"/>
      <c r="AH22" s="332"/>
      <c r="AJ22" s="330"/>
      <c r="BE22" t="str">
        <v>עוז דניאל</v>
      </c>
    </row>
    <row r="23" spans="1:57">
      <c r="S23" t="s">
        <v>212</v>
      </c>
      <c r="T23" t="s">
        <v>206</v>
      </c>
      <c r="U23" s="19" t="str">
        <f>IFERROR(ROUNDDOWN(MOD(U17/U20,12),0),"e")</f>
        <v>e</v>
      </c>
      <c r="V23" s="5" t="s">
        <v>167</v>
      </c>
      <c r="W23" s="171" t="e">
        <f t="shared" si="0"/>
        <v>#VALUE!</v>
      </c>
      <c r="AA23" t="str">
        <v>זלצר נועה</v>
      </c>
      <c r="AC23" s="307"/>
      <c r="AD23" s="307"/>
      <c r="AE23" s="307"/>
      <c r="AF23" s="307"/>
      <c r="AH23" s="332"/>
      <c r="AJ23" s="330"/>
      <c r="BE23" t="str">
        <v>אלוני רועי</v>
      </c>
    </row>
    <row r="24" spans="1:57">
      <c r="S24" t="s">
        <v>204</v>
      </c>
      <c r="T24" t="s">
        <v>201</v>
      </c>
      <c r="U24" s="172" t="e">
        <f>ROUNDDOWN(U17,0)</f>
        <v>#VALUE!</v>
      </c>
      <c r="V24" s="173" t="s">
        <v>168</v>
      </c>
      <c r="W24" s="174" t="e">
        <f>IF(U24,U24&amp;" "&amp;V24,"")</f>
        <v>#VALUE!</v>
      </c>
      <c r="AA24" t="str">
        <v>כהן אורי</v>
      </c>
      <c r="AC24" s="307"/>
      <c r="AD24" s="307"/>
      <c r="AE24" s="307"/>
      <c r="AF24" s="307"/>
      <c r="AH24" s="332"/>
      <c r="AJ24" s="330"/>
      <c r="BE24" t="str">
        <v>חגי עדי</v>
      </c>
    </row>
    <row r="25" spans="1:57">
      <c r="S25" t="s">
        <v>228</v>
      </c>
      <c r="T25" t="s">
        <v>221</v>
      </c>
      <c r="U25" s="175" t="e">
        <f>IF(U24,W24,IF(U23,W23,""))</f>
        <v>#VALUE!</v>
      </c>
      <c r="V25" s="176" t="e">
        <f>IF(AND(NOT(U25=""),NOT(U25="")),", ","")</f>
        <v>#VALUE!</v>
      </c>
      <c r="W25" s="177" t="e">
        <f>IF(U24,IF(U23,W23,IF(U21,W21,"")),IF(U21,W21,""))</f>
        <v>#VALUE!</v>
      </c>
      <c r="AA25" t="str">
        <v>כהן עדי</v>
      </c>
      <c r="AC25" s="307"/>
      <c r="AD25" s="307"/>
      <c r="AE25" s="307"/>
      <c r="AF25" s="307"/>
      <c r="AH25" s="332"/>
      <c r="AJ25" s="330"/>
      <c r="BE25" t="str">
        <v>זלצר נועה</v>
      </c>
    </row>
    <row r="26" spans="1:57">
      <c r="AA26" t="str">
        <v>לרנר אלעד</v>
      </c>
      <c r="AC26" s="307"/>
      <c r="AD26" s="307"/>
      <c r="AE26" s="307"/>
      <c r="AF26" s="307"/>
      <c r="AH26" s="332"/>
      <c r="AJ26" s="330"/>
      <c r="BE26" t="str">
        <v>שמר גל</v>
      </c>
    </row>
    <row r="27" spans="1:57">
      <c r="S27" t="s">
        <v>226</v>
      </c>
      <c r="T27" t="s">
        <v>208</v>
      </c>
      <c r="AA27" t="str">
        <v>לרנר יובל</v>
      </c>
      <c r="AC27" s="307"/>
      <c r="AD27" s="307"/>
      <c r="AE27" s="307"/>
      <c r="AF27" s="307"/>
      <c r="AH27" s="332"/>
      <c r="AJ27" s="330"/>
      <c r="BE27" t="str">
        <v>לרנר יובל</v>
      </c>
    </row>
    <row r="28" spans="1:57">
      <c r="S28" t="s">
        <v>227</v>
      </c>
      <c r="T28" t="s">
        <v>222</v>
      </c>
      <c r="AA28" t="str">
        <v>מגן נדב</v>
      </c>
      <c r="AC28" s="307"/>
      <c r="AD28" s="307"/>
      <c r="AE28" s="307"/>
      <c r="AF28" s="307"/>
      <c r="AH28" s="332"/>
      <c r="AJ28" s="330"/>
      <c r="BE28" t="str">
        <v>קנטור אופיר</v>
      </c>
    </row>
    <row r="29" spans="1:57">
      <c r="S29" t="s">
        <v>217</v>
      </c>
      <c r="T29" t="s">
        <v>207</v>
      </c>
      <c r="AA29" t="str">
        <v>מור ניר</v>
      </c>
      <c r="AC29" s="307"/>
      <c r="AD29" s="307"/>
      <c r="AE29" s="307"/>
      <c r="AF29" s="307"/>
      <c r="AH29" s="332"/>
      <c r="AJ29" s="330"/>
      <c r="BE29" t="str">
        <v>אבידן שירה</v>
      </c>
    </row>
    <row r="30" spans="1:57" ht="14.4" thickBot="1">
      <c r="S30" t="s">
        <v>225</v>
      </c>
      <c r="T30" t="s">
        <v>205</v>
      </c>
      <c r="U30" s="75"/>
      <c r="W30" s="309"/>
      <c r="X30" s="309"/>
      <c r="Y30" s="309"/>
      <c r="AA30" t="str">
        <v>נחשון דנה</v>
      </c>
      <c r="AC30" s="307"/>
      <c r="AD30" s="307"/>
      <c r="AE30" s="307"/>
      <c r="AF30" s="307"/>
      <c r="AH30" s="332"/>
      <c r="AJ30" s="330"/>
      <c r="BE30" t="str">
        <v>ברוש עידן</v>
      </c>
    </row>
    <row r="31" spans="1:57" ht="27.6">
      <c r="S31" t="s">
        <v>229</v>
      </c>
      <c r="T31" t="s">
        <v>218</v>
      </c>
      <c r="W31" s="309"/>
      <c r="X31" s="310" t="s">
        <v>345</v>
      </c>
      <c r="Y31" s="309"/>
      <c r="AA31" t="str">
        <v>פלג נדב</v>
      </c>
      <c r="AH31" s="332"/>
      <c r="AJ31" s="330"/>
      <c r="BE31" t="str">
        <v>שדה יערה</v>
      </c>
    </row>
    <row r="32" spans="1:57" ht="14.4" thickBot="1">
      <c r="W32" s="309"/>
      <c r="X32" s="271">
        <v>999</v>
      </c>
      <c r="Y32" s="309"/>
      <c r="AA32" t="str">
        <v>פרידמן רונית</v>
      </c>
      <c r="AH32" s="332"/>
      <c r="AJ32" s="330"/>
      <c r="BE32" t="str">
        <v>פרץ רז</v>
      </c>
    </row>
    <row r="33" spans="16:57" ht="21.6" thickBot="1">
      <c r="U33" s="180" t="str" cm="1">
        <f t="array" ref="U33">_xlfn._xlws.FILTER(tbEmploDetails[האם מורשה ע.שליטה],tbEmploDetails[שם מלא]=NameSearchCell,0)</f>
        <v>לא מורשה</v>
      </c>
      <c r="W33" s="309"/>
      <c r="X33" s="311" t="s">
        <v>346</v>
      </c>
      <c r="Y33" s="309"/>
      <c r="AA33" t="str">
        <v>פרץ תמר</v>
      </c>
      <c r="AH33" s="332"/>
      <c r="AJ33" s="330"/>
      <c r="BE33" t="str">
        <v>דרורי יונתן</v>
      </c>
    </row>
    <row r="34" spans="16:57">
      <c r="S34" s="75" t="e">
        <f>IF(ROUNDDOWN(YEARFRAC(V15,TodayCell),0),IF(ROUNDDOWN(YEARFRAC(V15,TodayCell),0),ROUNDDOWN(YEARFRAC(V15,TodayCell),0)&amp;" "&amp;"שנים",""),IF(IFERROR(ROUNDDOWN(MOD(YEARFRAC(V15,TodayCell)/(1/12),12),0),"e"),IF(IFERROR(ROUNDDOWN(MOD(YEARFRAC(V15,TodayCell)/(1/12),12),0),"e"),IFERROR(ROUNDDOWN(MOD(YEARFRAC(V15,TodayCell)/(1/12),12),0),"e")&amp;" "&amp;"חודשים",""),""))&amp;", "&amp;IF(ROUNDDOWN(YEARFRAC(V15,TodayCell),0),IF(IFERROR(ROUNDDOWN(MOD(YEARFRAC(V15,TodayCell)/(1/12),12),0),"e"),IF(IFERROR(ROUNDDOWN(MOD(YEARFRAC(V15,TodayCell)/(1/12),12),0),"e"),IFERROR(ROUNDDOWN(MOD(YEARFRAC(V15,TodayCell)/(1/12),12),0),"e")&amp;" "&amp;"חודשים",""),IF(IFERROR(ROUNDDOWN(MOD(YEARFRAC(V15,TodayCell)/(1/365),30),0),"e"),IF(IFERROR(ROUNDDOWN(MOD(YEARFRAC(V15,TodayCell)/(1/365),30),0),"e"),IFERROR(ROUNDDOWN(MOD(YEARFRAC(V15,TodayCell)/(1/365),30),0),"e")&amp;" "&amp;"ימים",""),"")),IF(IFERROR(ROUNDDOWN(MOD(YEARFRAC(V15,TodayCell)/(1/365),30),0),"e"),IF(IFERROR(ROUNDDOWN(MOD(YEARFRAC(V15,TodayCell)/(1/365),30),0),"e"),IFERROR(ROUNDDOWN(MOD(YEARFRAC(V15,TodayCell)/(1/365),30),0),"e")&amp;" "&amp;"ימים",""),""))</f>
        <v>#VALUE!</v>
      </c>
      <c r="U34" s="181" t="str" cm="1">
        <f t="array" ref="U34">_xlfn._xlws.FILTER(tbEmploDetails[האם מוסמך ע.שליטה],tbEmploDetails[שם מלא]=NameSearchCell,0)</f>
        <v>לא מוסמך</v>
      </c>
      <c r="W34" s="309"/>
      <c r="X34" s="309"/>
      <c r="Y34" s="309"/>
      <c r="AA34" t="str">
        <v>קפלן רונית</v>
      </c>
      <c r="AH34" s="332"/>
      <c r="AJ34" s="330"/>
      <c r="BE34" t="str">
        <v>רפפורט תומר</v>
      </c>
    </row>
    <row r="35" spans="16:57" ht="14.4" thickBot="1">
      <c r="U35" s="179" t="str" cm="1">
        <f t="array" ref="U35">_xlfn.IFS(helpCells03_1="לא מוסמך","לא מוסמך",AND(helpCells03_1="מוסמך",helpCells03_0="מורשה"),"מורשה",AND(helpCells03_1="מוסמך",helpCells03_0="לא מורשה"),"מוסמך, לא מורשה!",OR(helpCells03_1=0,helpCells03_0=0),"חסר מידע")</f>
        <v>לא מוסמך</v>
      </c>
      <c r="AA35" t="str">
        <v>קרמר דניאל</v>
      </c>
      <c r="AH35" s="332"/>
      <c r="AJ35" s="330"/>
      <c r="BE35" t="str">
        <v>פלדמן עומר</v>
      </c>
    </row>
    <row r="36" spans="16:57">
      <c r="AA36" t="str">
        <v>רוזן נעם</v>
      </c>
      <c r="AH36" s="332"/>
      <c r="AJ36" s="330"/>
      <c r="BE36" t="str">
        <v>בלום גיל</v>
      </c>
    </row>
    <row r="37" spans="16:57">
      <c r="AA37" t="str">
        <v>רוזנבלום טל</v>
      </c>
      <c r="AH37" s="332"/>
      <c r="AJ37" s="330"/>
      <c r="BE37" t="str">
        <v>בן ארי יעל</v>
      </c>
    </row>
    <row r="38" spans="16:57">
      <c r="AA38" t="str">
        <v>רז אלעד</v>
      </c>
      <c r="AH38" s="332"/>
      <c r="AJ38" s="330"/>
      <c r="BE38" t="str">
        <v>פרל שירה</v>
      </c>
    </row>
    <row r="39" spans="16:57">
      <c r="AA39" t="str">
        <v>רפפורט תומר</v>
      </c>
      <c r="AH39" s="332"/>
      <c r="AJ39" s="330"/>
      <c r="BE39" t="str">
        <v>הררי יוני</v>
      </c>
    </row>
    <row r="40" spans="16:57">
      <c r="AA40" t="str">
        <v>שגיא ליאת</v>
      </c>
      <c r="AH40" s="332"/>
      <c r="AJ40" s="330"/>
      <c r="BE40" t="str">
        <v>כהן עדי</v>
      </c>
    </row>
    <row r="41" spans="16:57">
      <c r="AA41" t="str">
        <v>שדה יערה</v>
      </c>
      <c r="AH41" s="332"/>
      <c r="AJ41" s="330"/>
      <c r="BE41" t="str">
        <v>שגיא ליאת</v>
      </c>
    </row>
    <row r="42" spans="16:57">
      <c r="AA42" t="str">
        <v>שדה ליאור</v>
      </c>
      <c r="AH42" s="332"/>
      <c r="AJ42" s="330"/>
      <c r="BE42" t="str">
        <v>קרמר דנה</v>
      </c>
    </row>
    <row r="43" spans="16:57">
      <c r="AA43" t="str">
        <v>שחם רועי</v>
      </c>
      <c r="AH43" s="332"/>
      <c r="AJ43" s="330"/>
      <c r="BE43" t="str">
        <v>מגן נדב</v>
      </c>
    </row>
    <row r="44" spans="16:57">
      <c r="AA44" t="str">
        <v>שמיר אביגיל</v>
      </c>
      <c r="AH44" s="332"/>
      <c r="AJ44" s="330"/>
      <c r="BE44" t="str">
        <v>אלון עומר</v>
      </c>
    </row>
    <row r="45" spans="16:57">
      <c r="AA45" t="str">
        <v>שמר גל</v>
      </c>
      <c r="AH45" s="332"/>
      <c r="AJ45" s="330"/>
      <c r="BE45" t="str">
        <v>לבני אורי</v>
      </c>
    </row>
    <row r="46" spans="16:57">
      <c r="P46" s="75"/>
      <c r="AA46" t="str">
        <v>שמש מיכל</v>
      </c>
      <c r="AH46" s="332"/>
      <c r="AJ46" s="330"/>
      <c r="BE46" t="str">
        <v>לרנר אלעד</v>
      </c>
    </row>
    <row r="47" spans="16:57">
      <c r="AA47" t="str">
        <v>שפירא יונתן</v>
      </c>
      <c r="AH47" s="332"/>
      <c r="AJ47" s="330"/>
      <c r="BE47" t="str">
        <v>ברונר ניב</v>
      </c>
    </row>
    <row r="48" spans="16:57">
      <c r="AA48" t="str">
        <v>שרון גלי</v>
      </c>
      <c r="AH48" s="332"/>
      <c r="AJ48" s="330"/>
      <c r="BE48" t="str">
        <v>אילן נועה</v>
      </c>
    </row>
    <row r="49" spans="34:57">
      <c r="AH49" s="332"/>
      <c r="AJ49" s="330"/>
      <c r="BE49" t="str">
        <v>שמיר אביגיל</v>
      </c>
    </row>
    <row r="50" spans="34:57">
      <c r="AH50" s="332"/>
      <c r="AJ50" s="330"/>
      <c r="BE50" t="str">
        <v>גל יובל</v>
      </c>
    </row>
    <row r="51" spans="34:57">
      <c r="AH51" s="332"/>
      <c r="AJ51" s="330"/>
      <c r="BE51" t="str">
        <v>דיין טל</v>
      </c>
    </row>
    <row r="52" spans="34:57">
      <c r="AH52" s="332"/>
      <c r="AJ52" s="330"/>
      <c r="BE52" t="str">
        <v>חסון רונית</v>
      </c>
    </row>
    <row r="53" spans="34:57">
      <c r="AH53" s="332"/>
      <c r="AJ53" s="330"/>
      <c r="BE53" t="str">
        <v>קרמר דניאל</v>
      </c>
    </row>
    <row r="54" spans="34:57">
      <c r="AH54" s="332"/>
      <c r="AJ54" s="330"/>
      <c r="BE54" t="str">
        <v>זילברמן איתי</v>
      </c>
    </row>
    <row r="55" spans="34:57">
      <c r="AH55" s="332"/>
      <c r="AJ55" s="330"/>
      <c r="BE55" t="str">
        <v>פרידלנדר נמרוד</v>
      </c>
    </row>
    <row r="56" spans="34:57">
      <c r="AH56" s="332"/>
      <c r="AJ56" s="330"/>
      <c r="BE56" t="str">
        <v>נחשון דנה</v>
      </c>
    </row>
    <row r="57" spans="34:57">
      <c r="AH57" s="332"/>
      <c r="AJ57" s="330"/>
      <c r="BE57" t="str">
        <v>שחם רועי</v>
      </c>
    </row>
    <row r="58" spans="34:57">
      <c r="AH58" s="332"/>
      <c r="AJ58" s="330"/>
      <c r="BE58" t="str">
        <v>אביטן יאיר</v>
      </c>
    </row>
    <row r="59" spans="34:57">
      <c r="AH59" s="332"/>
      <c r="AJ59" s="330"/>
      <c r="BE59" t="str">
        <v>גבאי אלון</v>
      </c>
    </row>
    <row r="60" spans="34:57">
      <c r="AH60" s="332"/>
      <c r="AJ60" s="330"/>
      <c r="BE60" t="str">
        <v>אורן עומר</v>
      </c>
    </row>
    <row r="61" spans="34:57">
      <c r="AH61" s="332"/>
      <c r="AJ61" s="330"/>
      <c r="BE61" t="str">
        <v>דקל יעל</v>
      </c>
    </row>
    <row r="62" spans="34:57">
      <c r="AH62" s="332"/>
      <c r="AJ62" s="330"/>
      <c r="BE62" t="str">
        <v>בן חיים אלעד</v>
      </c>
    </row>
    <row r="63" spans="34:57">
      <c r="AH63" s="332"/>
      <c r="AJ63" s="330"/>
      <c r="BE63" t="str">
        <v>פלג נדב</v>
      </c>
    </row>
    <row r="64" spans="34:57">
      <c r="AH64" s="332"/>
      <c r="AJ64" s="330"/>
      <c r="BE64" t="str">
        <v>הראל דניאל</v>
      </c>
    </row>
    <row r="65" spans="34:57">
      <c r="AH65" s="332"/>
      <c r="AJ65" s="330"/>
      <c r="BE65" t="str">
        <v>רימון נועה</v>
      </c>
    </row>
    <row r="66" spans="34:57">
      <c r="AH66" s="332"/>
      <c r="AJ66" s="330"/>
      <c r="BE66" t="str">
        <v>מור ניר</v>
      </c>
    </row>
    <row r="67" spans="34:57">
      <c r="AH67" s="332"/>
      <c r="AJ67" s="330"/>
      <c r="BE67" t="str">
        <v>פרץ תמר</v>
      </c>
    </row>
    <row r="68" spans="34:57">
      <c r="AH68" s="332"/>
      <c r="AJ68" s="330"/>
      <c r="BE68" t="str">
        <v>כץ יואב</v>
      </c>
    </row>
    <row r="69" spans="34:57">
      <c r="AH69" s="332"/>
      <c r="AJ69" s="330"/>
      <c r="BE69" t="str">
        <v>ברק רותם</v>
      </c>
    </row>
    <row r="70" spans="34:57">
      <c r="AH70" s="332"/>
      <c r="AJ70" s="330"/>
    </row>
    <row r="71" spans="34:57">
      <c r="AH71" s="332"/>
      <c r="AJ71" s="330"/>
    </row>
    <row r="72" spans="34:57">
      <c r="AH72" s="332"/>
      <c r="AJ72" s="330"/>
    </row>
    <row r="73" spans="34:57">
      <c r="AH73" s="332"/>
      <c r="AJ73" s="330"/>
    </row>
    <row r="74" spans="34:57">
      <c r="AH74" s="332"/>
      <c r="AJ74" s="330"/>
    </row>
    <row r="75" spans="34:57">
      <c r="AH75" s="332"/>
      <c r="AJ75" s="330"/>
    </row>
    <row r="76" spans="34:57">
      <c r="AH76" s="332"/>
      <c r="AJ76" s="330"/>
    </row>
    <row r="77" spans="34:57">
      <c r="AH77" s="332"/>
      <c r="AJ77" s="330"/>
    </row>
    <row r="78" spans="34:57">
      <c r="AH78" s="332"/>
      <c r="AJ78" s="330"/>
    </row>
    <row r="79" spans="34:57">
      <c r="AH79" s="332"/>
      <c r="AJ79" s="330"/>
    </row>
    <row r="80" spans="34:57">
      <c r="AH80" s="332"/>
      <c r="AJ80" s="330"/>
    </row>
    <row r="81" spans="34:36">
      <c r="AH81" s="332"/>
      <c r="AJ81" s="330"/>
    </row>
    <row r="82" spans="34:36">
      <c r="AH82" s="332"/>
      <c r="AJ82" s="330"/>
    </row>
    <row r="83" spans="34:36">
      <c r="AH83" s="332"/>
      <c r="AJ83" s="330"/>
    </row>
    <row r="84" spans="34:36">
      <c r="AH84" s="332"/>
      <c r="AJ84" s="330"/>
    </row>
    <row r="85" spans="34:36">
      <c r="AH85" s="332"/>
      <c r="AJ85" s="330"/>
    </row>
    <row r="86" spans="34:36">
      <c r="AH86" s="332"/>
      <c r="AJ86" s="330"/>
    </row>
    <row r="87" spans="34:36">
      <c r="AH87" s="332"/>
      <c r="AJ87" s="330"/>
    </row>
  </sheetData>
  <sheetProtection algorithmName="SHA-512" hashValue="gy3qiavlSgk00szFUyDsAj9IjJ9adteYNXY6VN/PKEmRkypZx4WOlX82I+EGWPirM+3ZAtKblM0sRKd3XRRayw==" saltValue="J3J7uZhWtrSIYCJGWa2+0Q==" spinCount="100000" sheet="1" objects="1" scenarios="1"/>
  <dataConsolidate/>
  <mergeCells count="1">
    <mergeCell ref="BD1:BD14"/>
  </mergeCells>
  <phoneticPr fontId="6" type="noConversion"/>
  <conditionalFormatting sqref="AA1:AA1048576 AH1:AH1048576 AJ1:AJ1048576 AL1:AL8">
    <cfRule type="notContainsBlanks" dxfId="1" priority="2">
      <formula>LEN(TRIM(AA1))&gt;0</formula>
    </cfRule>
  </conditionalFormatting>
  <dataValidations count="7">
    <dataValidation type="list" allowBlank="1" showInputMessage="1" showErrorMessage="1" sqref="AB1" xr:uid="{A02B2482-FAF9-4AB5-991B-45EF31B068A2}">
      <formula1>_xlfn.ANCHORARRAY($AA$1)</formula1>
    </dataValidation>
    <dataValidation type="list" allowBlank="1" showInputMessage="1" showErrorMessage="1" sqref="Y2:Y10" xr:uid="{2526CC04-634E-4E83-A9E8-6E07CDD7099F}">
      <formula1>"חיובי, שלילי"</formula1>
    </dataValidation>
    <dataValidation type="list" allowBlank="1" showInputMessage="1" showErrorMessage="1" sqref="D17" xr:uid="{4806B99E-24CB-4032-A53D-7FB9C39A5971}">
      <formula1>$B$17:$B$20</formula1>
    </dataValidation>
    <dataValidation type="list" allowBlank="1" showInputMessage="1" showErrorMessage="1" sqref="AI1" xr:uid="{0BC71D3E-5DB8-48BC-83DD-108DEE48FA36}">
      <formula1>_xlfn.ANCHORARRAY($AH$1)</formula1>
    </dataValidation>
    <dataValidation type="list" allowBlank="1" showInputMessage="1" showErrorMessage="1" sqref="AK1" xr:uid="{1A86ED98-FA73-42DD-849E-6E592D8BB8C3}">
      <formula1>_xlfn.ANCHORARRAY($AJ$1)</formula1>
    </dataValidation>
    <dataValidation type="list" allowBlank="1" showInputMessage="1" showErrorMessage="1" sqref="AM1" xr:uid="{B546C1D6-56CC-45EB-B0BE-244D410DEF6A}">
      <formula1>_xlfn.ANCHORARRAY($AL$1)</formula1>
    </dataValidation>
    <dataValidation type="list" allowBlank="1" showInputMessage="1" showErrorMessage="1" sqref="AO15" xr:uid="{D53E7B95-FF63-4A87-B364-8EA7B50DCA0D}">
      <formula1>_xlfn.ANCHORARRAY($BE$1)</formula1>
    </dataValidation>
  </dataValidations>
  <printOptions horizontalCentered="1"/>
  <pageMargins left="3.937007874015748E-2" right="3.937007874015748E-2" top="0.39370078740157483" bottom="0.39370078740157483" header="0.11811023622047245" footer="0.11811023622047245"/>
  <pageSetup paperSize="9" scale="15" fitToHeight="0" orientation="portrait" r:id="rId1"/>
  <headerFooter>
    <oddHeader>&amp;L&amp;D, &amp;T&amp;Rקובץ: &amp;F
גיליון: &amp;A</oddHeader>
    <oddFooter>&amp;Cעמוד &amp;P מתוך &amp;N</oddFooter>
  </headerFooter>
  <cellWatches>
    <cellWatch r="W2"/>
    <cellWatch r="Y2"/>
    <cellWatch r="Y3"/>
    <cellWatch r="Y4"/>
    <cellWatch r="Y5"/>
    <cellWatch r="Y6"/>
    <cellWatch r="Y7"/>
    <cellWatch r="Y8"/>
    <cellWatch r="Y9"/>
    <cellWatch r="Y10"/>
  </cellWatches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6339-EA5E-46AC-8E88-E7235CAEC5EE}">
  <sheetPr codeName="גיליון9">
    <tabColor rgb="FFCC9900"/>
  </sheetPr>
  <dimension ref="A1:V16"/>
  <sheetViews>
    <sheetView rightToLeft="1" workbookViewId="0">
      <selection activeCell="A11" sqref="A11"/>
    </sheetView>
  </sheetViews>
  <sheetFormatPr defaultRowHeight="13.8"/>
  <sheetData>
    <row r="1" spans="1:22">
      <c r="A1" s="138" t="s">
        <v>241</v>
      </c>
      <c r="B1" s="117"/>
      <c r="G1" s="138" t="s">
        <v>242</v>
      </c>
      <c r="H1" s="117"/>
      <c r="M1" s="138" t="s">
        <v>247</v>
      </c>
      <c r="N1" s="116"/>
      <c r="U1" s="138" t="s">
        <v>246</v>
      </c>
      <c r="V1" s="117"/>
    </row>
    <row r="2" spans="1:22">
      <c r="A2" t="s">
        <v>251</v>
      </c>
      <c r="G2" t="s">
        <v>250</v>
      </c>
      <c r="M2" t="s">
        <v>260</v>
      </c>
      <c r="U2" t="s">
        <v>243</v>
      </c>
    </row>
    <row r="3" spans="1:22" ht="14.4">
      <c r="A3" s="124" t="s">
        <v>252</v>
      </c>
      <c r="G3" t="s">
        <v>253</v>
      </c>
      <c r="M3" t="s">
        <v>248</v>
      </c>
      <c r="U3" t="s">
        <v>244</v>
      </c>
    </row>
    <row r="4" spans="1:22" ht="14.4">
      <c r="A4" t="s">
        <v>258</v>
      </c>
      <c r="G4" s="124" t="s">
        <v>262</v>
      </c>
      <c r="M4" t="s">
        <v>249</v>
      </c>
      <c r="U4" t="s">
        <v>245</v>
      </c>
    </row>
    <row r="5" spans="1:22">
      <c r="A5" t="s">
        <v>259</v>
      </c>
      <c r="G5" t="s">
        <v>267</v>
      </c>
      <c r="M5" t="s">
        <v>256</v>
      </c>
      <c r="U5" t="s">
        <v>270</v>
      </c>
    </row>
    <row r="6" spans="1:22" ht="14.4">
      <c r="A6" s="124" t="s">
        <v>261</v>
      </c>
      <c r="G6" t="s">
        <v>274</v>
      </c>
      <c r="M6" t="s">
        <v>257</v>
      </c>
      <c r="U6" t="s">
        <v>254</v>
      </c>
    </row>
    <row r="7" spans="1:22" ht="14.4">
      <c r="A7" s="124" t="s">
        <v>264</v>
      </c>
      <c r="G7" t="s">
        <v>281</v>
      </c>
      <c r="M7" t="s">
        <v>284</v>
      </c>
      <c r="U7" t="s">
        <v>255</v>
      </c>
    </row>
    <row r="8" spans="1:22" ht="14.4">
      <c r="A8" s="124" t="s">
        <v>275</v>
      </c>
      <c r="G8" t="s">
        <v>282</v>
      </c>
      <c r="M8" t="s">
        <v>266</v>
      </c>
      <c r="U8" t="s">
        <v>263</v>
      </c>
    </row>
    <row r="9" spans="1:22">
      <c r="A9" s="51" t="s">
        <v>280</v>
      </c>
      <c r="G9" t="s">
        <v>299</v>
      </c>
      <c r="M9" t="s">
        <v>271</v>
      </c>
      <c r="U9" t="s">
        <v>265</v>
      </c>
    </row>
    <row r="10" spans="1:22" ht="14.4">
      <c r="A10" s="51"/>
      <c r="G10" t="s">
        <v>300</v>
      </c>
      <c r="M10" s="124" t="s">
        <v>277</v>
      </c>
      <c r="U10" s="124" t="s">
        <v>268</v>
      </c>
    </row>
    <row r="11" spans="1:22">
      <c r="A11" s="51"/>
      <c r="U11" t="s">
        <v>269</v>
      </c>
    </row>
    <row r="12" spans="1:22">
      <c r="A12" s="51"/>
      <c r="U12" t="s">
        <v>283</v>
      </c>
    </row>
    <row r="13" spans="1:22">
      <c r="A13" s="51"/>
    </row>
    <row r="14" spans="1:22">
      <c r="A14" s="51"/>
    </row>
    <row r="15" spans="1:22">
      <c r="A15" s="51"/>
    </row>
    <row r="16" spans="1:22">
      <c r="A16" s="51"/>
    </row>
  </sheetData>
  <sheetProtection algorithmName="SHA-512" hashValue="TQgqOn5PoS6cEjmKO9KM/8ya/GBfRQuTTlB/LptSbO8EjLo4fZWwH/3aLIA4SnhkIJkFLfmEX4lTOUObOMvj2w==" saltValue="efRpcf6Rv1LQXlSZ09W8Qw==" spinCount="100000" sheet="1" objects="1" scenarios="1"/>
  <conditionalFormatting sqref="A2:A1048576 G2:G1048576 U2:U1048576 M2:M1048576">
    <cfRule type="notContainsBlanks" dxfId="0" priority="2">
      <formula>LEN(TRIM(A2))&gt;0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��  ����� ��  ���� ��  ��� ��'   ���� ��'   ����� �����  -   ���� �����  -   �����/ ���� ���  ���� ���  ���- ����� ���  ���- ����� ���  ���- �� �����  �����  ������  ������ ���  ���� �����  �����  ������ ���  �����  �. ����� ���  �����  �. ����� ����� �����  ��'   ������  ������ ���  ���'   ������  ��� ��'   �������  ��  ����  ����� ��'   ����� �����  ������� ��'   ������� ����  �����  ������� ��'   ������� ����  �����  ������� ����� ���  ����� ����� ��  ����� �����  ���' / ��� ��' ��' ����� ���  ��� ����� 
</file>

<file path=customXml/item8.xml>�� 
</file>

<file path=customXml/item9.xml>�� ��  ����� ��  ���� ��  ��� ��'   ���� ��'   ����� �����  -   ���� �����  -   �����/ ���� ���  ���� ���  ���- ����� ���  ���- ����� ���  ���- �� �����  �����  ������  ������ ���  ���� �����  �����  ������ ���  �����  �. ����� ���  �����  �. ����� ����� �����  ��'   ������  ������ ���  ���'   ������  ��� ��'   �������  ��  ����  ����� ��'   ����� �����  ������� ��'   ������� ����  �����  ������� ��'   ������� ����  �����  ������� ��  ����� ��  ���� ��  ��� ��'   ���� ��'   ����� �����  -   ���� �����  -   �����/ ���� ���  ���� ���  ���- ����� ���  ���- ����� ���  ���- �� �����  �����  ������  ������ ���  ���� �����  �����  ������ ���  �����  �. ����� ���  �����  �. ����� ����� �����  ��'   ������  ������ ���  ���'   ������  ��� ��'   �������  ��  ����  ����� ��'   ����� �����  ������� ��'   ������� ����  �����  ������� ��'   ������� ����  �����  ������� 
</file>

<file path=customXml/item10.xml>�� ����� ���  ����� ����� ��  ����� �����  ���' / ��� ��' ��' ����� ���  ��� ����� ����� ���  ����� ����� ��  ����� �����  ���' / ��� ��' ��' ����� ���  ��� ����� 
</file>

<file path=customXml/item11.xml>�� ��  ����� ��  ���� ��  ��� ��'   ���� ��'   ����� �����  -   ���� �����  -   �����/ ���� ���  ���� ���  ���- ����� ���  ���- ����� ���  ���- �� �����  �����  ������  ������ ���  ���� �����  �����  ������ ���  �����  �. ����� ���  �����  �. ����� ����� �����  ��'   ������  ������ ���  ���'   ������  ��� ��'   �������  ��  ����  ����� ��'   ����� �����  ������� ��'   ������� ����  �����  ������� ��'   ������� ����  �����  ������� ��  ����� ��  ���� ��  ��� ��'   ���� ��'   ����� �����  -   ���� �����  -   �����/ ���� ���  ���� ���  ���- ����� ���  ���- ����� ���  ���- �� �����  �����  ������  ������ ���  ���� �����  �����  ������ ���  �����  �. ����� ���  �����  �. ����� ����� �����  ��'   ������  ������ ���  ���'   ������  ��� ��'   �������  ��  ����  ����� ��'   ����� �����  ������� ��'   ������� ����  �����  ������� ��'   ������� ����  �����  ������� ����� ���  ����� ����� ��  ����� �����  ���' / ��� ��' ��' ����� ���  ��� ����� ��  ����� ��  ���� ��  ��� ��'   ���� ��'   ����� �����  -   ���� �����  -   �����/ ���� ���  ���� ���  ���- ����� ���  ���- ����� ���  ���- �� �����  �����  ������  ������ ���  ���� �����  �����  ������ ���  �����  �. ����� ���  �����  �. ����� ����� �����  ��'   ������  ������ ���  ���'   ������  ��� ��'   �������  ��  ����  ����� ��'   ����� �����  ������� ��'   ������� ����  �����  ������� ��'   ������� ����  �����  ������� ����� ���� ���� ����� ��'   ��� ����� ��  ����� ����� ���  ����� ����� ��  ����� �����  ���' / ��� ��' ��' ����� ���  ��� ����� ��  ����� ��  ���� ��  ��� ��'   ���� ��'   ����� �����  -   ���� �����  -   �����/ ���� ���  ���� ���  ���- ����� ���  ���- ����� ���  ���- �� �����  �����  ������  ������ ���  ���� �����  �����  ������ ���  �����  �. ����� ���  �����  �. ����� ����� �����  ��'   ������  ������ ���  ���'   ������  ��� ��'   �������  ��  ����  ����� ��'   ����� �����  ������� ��'   ������� ����  �����  ������� ��'   ������� ����  �����  ������� ����� ���� ���� ����� ��'   ��� ����� ����� ���  ����� ����� ��  ����� �����  ���' / ��� ��' ��' ����� ���  ��� ����� ����� ���  ����� ����� ��  ����� �����  ���' / ��� ��' ��' ����� ���  ��� �����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25AD7CA2-3106-42E1-A464-6FF5C80274DE}">
  <ds:schemaRefs/>
</ds:datastoreItem>
</file>

<file path=customXml/itemProps2.xml><?xml version="1.0" encoding="utf-8"?>
<ds:datastoreItem xmlns:ds="http://schemas.openxmlformats.org/officeDocument/2006/customXml" ds:itemID="{91F1FBE3-8D26-403D-B838-2E8E768FC26B}">
  <ds:schemaRefs/>
</ds:datastoreItem>
</file>

<file path=customXml/itemProps3.xml><?xml version="1.0" encoding="utf-8"?>
<ds:datastoreItem xmlns:ds="http://schemas.openxmlformats.org/officeDocument/2006/customXml" ds:itemID="{A7C23CF7-F78D-403F-A30A-462F82D5CF29}">
  <ds:schemaRefs/>
</ds:datastoreItem>
</file>

<file path=customXml/itemProps4.xml><?xml version="1.0" encoding="utf-8"?>
<ds:datastoreItem xmlns:ds="http://schemas.openxmlformats.org/officeDocument/2006/customXml" ds:itemID="{F76D145E-E3B7-4FF7-AD68-4E120D40EF83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CD85A232-31AD-41A2-81F0-DC36C0DFA601}">
  <ds:schemaRefs/>
</ds:datastoreItem>
</file>

<file path=customXml/itemProps6.xml><?xml version="1.0" encoding="utf-8"?>
<ds:datastoreItem xmlns:ds="http://schemas.openxmlformats.org/officeDocument/2006/customXml" ds:itemID="{9E8BD3BF-5334-46BC-8143-9F91BD16092D}">
  <ds:schemaRefs/>
</ds:datastoreItem>
</file>

<file path=customXml/itemProps7.xml><?xml version="1.0" encoding="utf-8"?>
<ds:datastoreItem xmlns:ds="http://schemas.openxmlformats.org/officeDocument/2006/customXml" ds:itemID="{7E5F7860-D454-4BC7-A042-8A2D6F0BB39D}">
  <ds:schemaRefs/>
</ds:datastoreItem>
</file>

<file path=customXml/itemProps8.xml><?xml version="1.0" encoding="utf-8"?>
<ds:datastoreItem xmlns:ds="http://schemas.openxmlformats.org/officeDocument/2006/customXml" ds:itemID="{561476A9-9700-453A-BA84-CE6D9502BF2F}">
  <ds:schemaRefs/>
</ds:datastoreItem>
</file>

<file path=customXml/itemProps9.xml><?xml version="1.0" encoding="utf-8"?>
<ds:datastoreItem xmlns:ds="http://schemas.openxmlformats.org/officeDocument/2006/customXml" ds:itemID="{1CF13AF5-1F77-4206-857E-CA79E94AC117}">
  <ds:schemaRefs/>
</ds:datastoreItem>
</file>

<file path=customXml/itemProps10.xml><?xml version="1.0" encoding="utf-8"?>
<ds:datastoreItem xmlns:ds="http://schemas.openxmlformats.org/officeDocument/2006/customXml" ds:itemID="{FB7FEB63-C7CC-41C8-848D-7658B47EDA8D}">
  <ds:schemaRefs/>
</ds:datastoreItem>
</file>

<file path=customXml/itemProps11.xml><?xml version="1.0" encoding="utf-8"?>
<ds:datastoreItem xmlns:ds="http://schemas.openxmlformats.org/officeDocument/2006/customXml" ds:itemID="{75C531EE-D81A-470A-A25F-D13C14806E3B}">
  <ds:schemaRefs/>
</ds:datastoreItem>
</file>

<file path=customXml/itemProps12.xml><?xml version="1.0" encoding="utf-8"?>
<ds:datastoreItem xmlns:ds="http://schemas.openxmlformats.org/officeDocument/2006/customXml" ds:itemID="{2686BC06-4647-4EF0-A01E-8EB0B06B3E94}">
  <ds:schemaRefs/>
</ds:datastoreItem>
</file>

<file path=customXml/itemProps13.xml><?xml version="1.0" encoding="utf-8"?>
<ds:datastoreItem xmlns:ds="http://schemas.openxmlformats.org/officeDocument/2006/customXml" ds:itemID="{7B2355A5-9DE9-4E2E-AA93-DC8A3873DA4A}">
  <ds:schemaRefs/>
</ds:datastoreItem>
</file>

<file path=customXml/itemProps14.xml><?xml version="1.0" encoding="utf-8"?>
<ds:datastoreItem xmlns:ds="http://schemas.openxmlformats.org/officeDocument/2006/customXml" ds:itemID="{BC3B58F4-C4C2-4DD1-A878-B3253BFD4E9F}">
  <ds:schemaRefs/>
</ds:datastoreItem>
</file>

<file path=customXml/itemProps15.xml><?xml version="1.0" encoding="utf-8"?>
<ds:datastoreItem xmlns:ds="http://schemas.openxmlformats.org/officeDocument/2006/customXml" ds:itemID="{D807739C-3D5C-4039-8361-2D7CBE275C42}">
  <ds:schemaRefs/>
</ds:datastoreItem>
</file>

<file path=customXml/itemProps16.xml><?xml version="1.0" encoding="utf-8"?>
<ds:datastoreItem xmlns:ds="http://schemas.openxmlformats.org/officeDocument/2006/customXml" ds:itemID="{111D34B5-E2FE-432F-8535-26754173C0E2}">
  <ds:schemaRefs/>
</ds:datastoreItem>
</file>

<file path=customXml/itemProps17.xml><?xml version="1.0" encoding="utf-8"?>
<ds:datastoreItem xmlns:ds="http://schemas.openxmlformats.org/officeDocument/2006/customXml" ds:itemID="{0C469CE9-D963-4FE4-BE05-2B4BA5F13A21}">
  <ds:schemaRefs/>
</ds:datastoreItem>
</file>

<file path=customXml/itemProps18.xml><?xml version="1.0" encoding="utf-8"?>
<ds:datastoreItem xmlns:ds="http://schemas.openxmlformats.org/officeDocument/2006/customXml" ds:itemID="{939C2227-48D9-4845-847B-1955C6A4E26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מסך ראשי</vt:lpstr>
      <vt:lpstr>עובד - כללי</vt:lpstr>
      <vt:lpstr>עובד - איחורים</vt:lpstr>
      <vt:lpstr>עובד - ביקורות</vt:lpstr>
      <vt:lpstr>עובד - תרגילים</vt:lpstr>
      <vt:lpstr>סיכום - הסמכות</vt:lpstr>
      <vt:lpstr>סיכום - בחני שטח</vt:lpstr>
      <vt:lpstr>סיכום - איחורים</vt:lpstr>
      <vt:lpstr>סיכום - ביקורות</vt:lpstr>
      <vt:lpstr>סיכום - תרגילים</vt:lpstr>
      <vt:lpstr>סיכום - הצהרות בריאות</vt:lpstr>
      <vt:lpstr>פרטי עובדים</vt:lpstr>
      <vt:lpstr>הדפסה לשיחת משמעת</vt:lpstr>
      <vt:lpstr>בחני שטח</vt:lpstr>
      <vt:lpstr>איחורים</vt:lpstr>
      <vt:lpstr>ביקורות</vt:lpstr>
      <vt:lpstr>תרגילים</vt:lpstr>
      <vt:lpstr>אלפון להדפסה</vt:lpstr>
      <vt:lpstr>עמדות שליטה להדפסה</vt:lpstr>
      <vt:lpstr>מידע לגרפים</vt:lpstr>
      <vt:lpstr>גיליון טכני</vt:lpstr>
      <vt:lpstr>ToDo</vt:lpstr>
      <vt:lpstr>'סיכום - הסמכות'!clmnFullNamesFP</vt:lpstr>
      <vt:lpstr>clmnFullNamesFP</vt:lpstr>
      <vt:lpstr>helpCells01</vt:lpstr>
      <vt:lpstr>helpCells01.5_0</vt:lpstr>
      <vt:lpstr>helpCells01_0</vt:lpstr>
      <vt:lpstr>helpCells01_2</vt:lpstr>
      <vt:lpstr>helpCells03</vt:lpstr>
      <vt:lpstr>helpCells03_0</vt:lpstr>
      <vt:lpstr>helpCells03_1</vt:lpstr>
      <vt:lpstr>helpCells03_2</vt:lpstr>
      <vt:lpstr>hlpCellDrpDwnNames</vt:lpstr>
      <vt:lpstr>lsOptCtrlCert_0</vt:lpstr>
      <vt:lpstr>lsOptCtrlCert_1</vt:lpstr>
      <vt:lpstr>'סיכום - הסמכות'!lsOptRvewWord</vt:lpstr>
      <vt:lpstr>lsOptRvewWord</vt:lpstr>
      <vt:lpstr>lsOptTest_0</vt:lpstr>
      <vt:lpstr>lsOptTest_1</vt:lpstr>
      <vt:lpstr>lsOptTest_2</vt:lpstr>
      <vt:lpstr>monthAgoCell</vt:lpstr>
      <vt:lpstr>months2AgoCell</vt:lpstr>
      <vt:lpstr>NameSearchCell</vt:lpstr>
      <vt:lpstr>previousNameCell</vt:lpstr>
      <vt:lpstr>'עובד - איחורים'!prevNameCellInSheet</vt:lpstr>
      <vt:lpstr>'עובד - ביקורות'!prevNameCellInSheet</vt:lpstr>
      <vt:lpstr>'עובד - תרגילים'!prevNameCellInSheet</vt:lpstr>
      <vt:lpstr>'עובד - ביקורות'!prevOrederCellInSheet</vt:lpstr>
      <vt:lpstr>'עובד - תרגילים'!prevOrederCellInSheet</vt:lpstr>
      <vt:lpstr>'אלפון להדפסה'!Print_Area</vt:lpstr>
      <vt:lpstr>'סיכום - הסמכות'!Print_Area</vt:lpstr>
      <vt:lpstr>'עובד - כללי'!Print_Area</vt:lpstr>
      <vt:lpstr>'עמדות שליטה להדפסה'!Print_Area</vt:lpstr>
      <vt:lpstr>reflectNameSearchCell</vt:lpstr>
      <vt:lpstr>'סיכום - איחורים'!shouldUptateSheetInSheet</vt:lpstr>
      <vt:lpstr>'סיכום - בחני שטח'!shouldUptateSheetInSheet</vt:lpstr>
      <vt:lpstr>'סיכום - ביקורות'!shouldUptateSheetInSheet</vt:lpstr>
      <vt:lpstr>'סיכום - תרגילים'!shouldUptateSheetInSheet</vt:lpstr>
      <vt:lpstr>'עובד - איחורים'!shouldUptateSheetInSheet</vt:lpstr>
      <vt:lpstr>'עובד - ביקורות'!shouldUptateSheetInSheet</vt:lpstr>
      <vt:lpstr>'עובד - כללי'!shouldUptateSheetInSheet</vt:lpstr>
      <vt:lpstr>'עובד - תרגילים'!shouldUptateSheetInSheet</vt:lpstr>
      <vt:lpstr>TempNameCheck01</vt:lpstr>
      <vt:lpstr>TodayCell</vt:lpstr>
      <vt:lpstr>weekAgoCell</vt:lpstr>
      <vt:lpstr>yearAgoCell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 eli</dc:creator>
  <cp:lastModifiedBy>ET ET</cp:lastModifiedBy>
  <cp:lastPrinted>2024-09-23T11:47:42Z</cp:lastPrinted>
  <dcterms:created xsi:type="dcterms:W3CDTF">2023-03-16T19:32:10Z</dcterms:created>
  <dcterms:modified xsi:type="dcterms:W3CDTF">2024-09-23T11:58:39Z</dcterms:modified>
</cp:coreProperties>
</file>